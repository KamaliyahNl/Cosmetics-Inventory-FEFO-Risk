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ASUS\Documents\"/>
    </mc:Choice>
  </mc:AlternateContent>
  <xr:revisionPtr revIDLastSave="0" documentId="13_ncr:1_{154D27AA-89E2-4C8C-BE8E-45836CB8488E}" xr6:coauthVersionLast="47" xr6:coauthVersionMax="47" xr10:uidLastSave="{00000000-0000-0000-0000-000000000000}"/>
  <bookViews>
    <workbookView xWindow="-120" yWindow="-120" windowWidth="20730" windowHeight="11040" firstSheet="1" activeTab="5" xr2:uid="{5FFFDFB4-BD5F-4A93-93A7-CF80189B8E58}"/>
  </bookViews>
  <sheets>
    <sheet name="DASHBOARD" sheetId="6" r:id="rId1"/>
    <sheet name="MASTER_DATA" sheetId="5" r:id="rId2"/>
    <sheet name="Inbound_Batch" sheetId="1" r:id="rId3"/>
    <sheet name="Outbound_Orders" sheetId="2" r:id="rId4"/>
    <sheet name="Analysis_FEFO" sheetId="3" r:id="rId5"/>
    <sheet name="PIVOT" sheetId="9" r:id="rId6"/>
  </sheets>
  <definedNames>
    <definedName name="_xlnm._FilterDatabase" localSheetId="4" hidden="1">Analysis_FEFO!$A$4:$I$175</definedName>
    <definedName name="_xlnm._FilterDatabase" localSheetId="2" hidden="1">Inbound_Batch!$A$4:$K$325</definedName>
    <definedName name="_xlnm._FilterDatabase" localSheetId="1" hidden="1">MASTER_DATA!$N$1:$N$327</definedName>
    <definedName name="_xlnm._FilterDatabase" localSheetId="3" hidden="1">Outbound_Orders!$A$4:$F$85</definedName>
    <definedName name="Slicer_Action_Recommendation">#N/A</definedName>
    <definedName name="Slicer_Alert_Status">#N/A</definedName>
    <definedName name="Slicer_Batch_ID">#N/A</definedName>
    <definedName name="Slicer_Category">#N/A</definedName>
    <definedName name="Slicer_Expiry_Alert_30Days1">#N/A</definedName>
    <definedName name="Slicer_Product_Na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1" i="6" l="1"/>
  <c r="J5"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6" i="3"/>
  <c r="J7" i="3"/>
  <c r="J8" i="3"/>
  <c r="J9" i="3"/>
  <c r="J10" i="3"/>
  <c r="J11" i="3"/>
  <c r="J12" i="3"/>
  <c r="J13" i="3"/>
  <c r="J14" i="3"/>
  <c r="J15" i="3"/>
  <c r="J16" i="3"/>
  <c r="J17" i="3"/>
  <c r="J18" i="3"/>
  <c r="J19" i="3"/>
  <c r="J20" i="3"/>
  <c r="J21" i="3"/>
  <c r="I5" i="3"/>
  <c r="I175" i="3" s="1"/>
  <c r="O6" i="5"/>
  <c r="L6" i="5"/>
  <c r="T1" i="6"/>
  <c r="H1" i="6"/>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5" i="3"/>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5" i="1"/>
  <c r="K5" i="1" s="1"/>
  <c r="M7" i="5"/>
  <c r="N7" i="5" s="1"/>
  <c r="M8" i="5"/>
  <c r="N8" i="5" s="1"/>
  <c r="M9" i="5"/>
  <c r="N9" i="5" s="1"/>
  <c r="M10" i="5"/>
  <c r="N10" i="5" s="1"/>
  <c r="M11" i="5"/>
  <c r="N11" i="5" s="1"/>
  <c r="M12" i="5"/>
  <c r="N12" i="5" s="1"/>
  <c r="M13" i="5"/>
  <c r="N13" i="5" s="1"/>
  <c r="M14" i="5"/>
  <c r="N14" i="5" s="1"/>
  <c r="M15" i="5"/>
  <c r="N15" i="5" s="1"/>
  <c r="M16" i="5"/>
  <c r="N16" i="5" s="1"/>
  <c r="M17" i="5"/>
  <c r="N17" i="5" s="1"/>
  <c r="M18" i="5"/>
  <c r="N18" i="5" s="1"/>
  <c r="M19" i="5"/>
  <c r="N19" i="5" s="1"/>
  <c r="M20" i="5"/>
  <c r="N20" i="5" s="1"/>
  <c r="M21" i="5"/>
  <c r="N21" i="5" s="1"/>
  <c r="M22" i="5"/>
  <c r="N22" i="5" s="1"/>
  <c r="M23" i="5"/>
  <c r="N23" i="5" s="1"/>
  <c r="M24" i="5"/>
  <c r="N24" i="5" s="1"/>
  <c r="M25" i="5"/>
  <c r="N25" i="5" s="1"/>
  <c r="M26" i="5"/>
  <c r="N26" i="5" s="1"/>
  <c r="M27" i="5"/>
  <c r="N27" i="5" s="1"/>
  <c r="M28" i="5"/>
  <c r="N28" i="5" s="1"/>
  <c r="M29" i="5"/>
  <c r="N29" i="5" s="1"/>
  <c r="M30" i="5"/>
  <c r="N30" i="5" s="1"/>
  <c r="M31" i="5"/>
  <c r="N31" i="5" s="1"/>
  <c r="M32" i="5"/>
  <c r="N32" i="5" s="1"/>
  <c r="M33" i="5"/>
  <c r="N33" i="5" s="1"/>
  <c r="M34" i="5"/>
  <c r="N34" i="5" s="1"/>
  <c r="M35" i="5"/>
  <c r="N35" i="5" s="1"/>
  <c r="M36" i="5"/>
  <c r="N36" i="5" s="1"/>
  <c r="M37" i="5"/>
  <c r="N37" i="5" s="1"/>
  <c r="M38" i="5"/>
  <c r="N38" i="5" s="1"/>
  <c r="M39" i="5"/>
  <c r="N39" i="5" s="1"/>
  <c r="M40" i="5"/>
  <c r="N40" i="5" s="1"/>
  <c r="M41" i="5"/>
  <c r="N41" i="5" s="1"/>
  <c r="M42" i="5"/>
  <c r="N42" i="5" s="1"/>
  <c r="M43" i="5"/>
  <c r="N43" i="5" s="1"/>
  <c r="M44" i="5"/>
  <c r="N44" i="5" s="1"/>
  <c r="M45" i="5"/>
  <c r="N45" i="5" s="1"/>
  <c r="M46" i="5"/>
  <c r="N46" i="5" s="1"/>
  <c r="M47" i="5"/>
  <c r="N47" i="5" s="1"/>
  <c r="M48" i="5"/>
  <c r="N48" i="5" s="1"/>
  <c r="M49" i="5"/>
  <c r="N49" i="5" s="1"/>
  <c r="M50" i="5"/>
  <c r="N50" i="5" s="1"/>
  <c r="M51" i="5"/>
  <c r="N51" i="5" s="1"/>
  <c r="M52" i="5"/>
  <c r="N52" i="5" s="1"/>
  <c r="M53" i="5"/>
  <c r="N53" i="5" s="1"/>
  <c r="M54" i="5"/>
  <c r="N54" i="5" s="1"/>
  <c r="M55" i="5"/>
  <c r="N55" i="5" s="1"/>
  <c r="M56" i="5"/>
  <c r="N56" i="5" s="1"/>
  <c r="M57" i="5"/>
  <c r="N57" i="5" s="1"/>
  <c r="M58" i="5"/>
  <c r="N58" i="5" s="1"/>
  <c r="M59" i="5"/>
  <c r="N59" i="5" s="1"/>
  <c r="M60" i="5"/>
  <c r="N60" i="5" s="1"/>
  <c r="M61" i="5"/>
  <c r="N61" i="5" s="1"/>
  <c r="M62" i="5"/>
  <c r="N62" i="5" s="1"/>
  <c r="M63" i="5"/>
  <c r="N63" i="5" s="1"/>
  <c r="M64" i="5"/>
  <c r="N64" i="5" s="1"/>
  <c r="M65" i="5"/>
  <c r="N65" i="5" s="1"/>
  <c r="M66" i="5"/>
  <c r="N66" i="5" s="1"/>
  <c r="M67" i="5"/>
  <c r="N67" i="5" s="1"/>
  <c r="M68" i="5"/>
  <c r="N68" i="5" s="1"/>
  <c r="M69" i="5"/>
  <c r="N69" i="5" s="1"/>
  <c r="M70" i="5"/>
  <c r="N70" i="5" s="1"/>
  <c r="M71" i="5"/>
  <c r="N71" i="5" s="1"/>
  <c r="M72" i="5"/>
  <c r="N72" i="5" s="1"/>
  <c r="M73" i="5"/>
  <c r="N73" i="5" s="1"/>
  <c r="M74" i="5"/>
  <c r="N74" i="5" s="1"/>
  <c r="M75" i="5"/>
  <c r="N75" i="5" s="1"/>
  <c r="M76" i="5"/>
  <c r="N76" i="5" s="1"/>
  <c r="M77" i="5"/>
  <c r="N77" i="5" s="1"/>
  <c r="M78" i="5"/>
  <c r="N78" i="5" s="1"/>
  <c r="M79" i="5"/>
  <c r="N79" i="5" s="1"/>
  <c r="M80" i="5"/>
  <c r="N80" i="5" s="1"/>
  <c r="M81" i="5"/>
  <c r="N81" i="5" s="1"/>
  <c r="M82" i="5"/>
  <c r="N82" i="5" s="1"/>
  <c r="M83" i="5"/>
  <c r="N83" i="5" s="1"/>
  <c r="M84" i="5"/>
  <c r="N84" i="5" s="1"/>
  <c r="M85" i="5"/>
  <c r="N85" i="5" s="1"/>
  <c r="M86" i="5"/>
  <c r="N86" i="5" s="1"/>
  <c r="M87" i="5"/>
  <c r="N87" i="5" s="1"/>
  <c r="M88" i="5"/>
  <c r="N88" i="5" s="1"/>
  <c r="M89" i="5"/>
  <c r="N89" i="5" s="1"/>
  <c r="M90" i="5"/>
  <c r="N90" i="5" s="1"/>
  <c r="M91" i="5"/>
  <c r="N91" i="5" s="1"/>
  <c r="M92" i="5"/>
  <c r="N92" i="5" s="1"/>
  <c r="M93" i="5"/>
  <c r="N93" i="5" s="1"/>
  <c r="M94" i="5"/>
  <c r="N94" i="5" s="1"/>
  <c r="M95" i="5"/>
  <c r="N95" i="5" s="1"/>
  <c r="M96" i="5"/>
  <c r="N96" i="5" s="1"/>
  <c r="M97" i="5"/>
  <c r="N97" i="5" s="1"/>
  <c r="M98" i="5"/>
  <c r="N98" i="5" s="1"/>
  <c r="M99" i="5"/>
  <c r="N99" i="5" s="1"/>
  <c r="M100" i="5"/>
  <c r="N100" i="5" s="1"/>
  <c r="M101" i="5"/>
  <c r="N101" i="5" s="1"/>
  <c r="M102" i="5"/>
  <c r="N102" i="5" s="1"/>
  <c r="M103" i="5"/>
  <c r="N103" i="5" s="1"/>
  <c r="M104" i="5"/>
  <c r="N104" i="5" s="1"/>
  <c r="M105" i="5"/>
  <c r="N105" i="5" s="1"/>
  <c r="M106" i="5"/>
  <c r="N106" i="5" s="1"/>
  <c r="M107" i="5"/>
  <c r="N107" i="5" s="1"/>
  <c r="M108" i="5"/>
  <c r="N108" i="5" s="1"/>
  <c r="M109" i="5"/>
  <c r="N109" i="5" s="1"/>
  <c r="M110" i="5"/>
  <c r="N110" i="5" s="1"/>
  <c r="M111" i="5"/>
  <c r="N111" i="5" s="1"/>
  <c r="M112" i="5"/>
  <c r="N112" i="5" s="1"/>
  <c r="M113" i="5"/>
  <c r="N113" i="5" s="1"/>
  <c r="M114" i="5"/>
  <c r="N114" i="5" s="1"/>
  <c r="M115" i="5"/>
  <c r="N115" i="5" s="1"/>
  <c r="M116" i="5"/>
  <c r="N116" i="5" s="1"/>
  <c r="M117" i="5"/>
  <c r="N117" i="5" s="1"/>
  <c r="M118" i="5"/>
  <c r="N118" i="5" s="1"/>
  <c r="M119" i="5"/>
  <c r="N119" i="5" s="1"/>
  <c r="M120" i="5"/>
  <c r="N120" i="5" s="1"/>
  <c r="M121" i="5"/>
  <c r="N121" i="5" s="1"/>
  <c r="M122" i="5"/>
  <c r="N122" i="5" s="1"/>
  <c r="M123" i="5"/>
  <c r="N123" i="5" s="1"/>
  <c r="M124" i="5"/>
  <c r="N124" i="5" s="1"/>
  <c r="M125" i="5"/>
  <c r="N125" i="5" s="1"/>
  <c r="M126" i="5"/>
  <c r="N126" i="5" s="1"/>
  <c r="M127" i="5"/>
  <c r="N127" i="5" s="1"/>
  <c r="M128" i="5"/>
  <c r="N128" i="5" s="1"/>
  <c r="M129" i="5"/>
  <c r="N129" i="5" s="1"/>
  <c r="M130" i="5"/>
  <c r="N130" i="5" s="1"/>
  <c r="M131" i="5"/>
  <c r="N131" i="5" s="1"/>
  <c r="M132" i="5"/>
  <c r="N132" i="5" s="1"/>
  <c r="M133" i="5"/>
  <c r="N133" i="5" s="1"/>
  <c r="M134" i="5"/>
  <c r="N134" i="5" s="1"/>
  <c r="M135" i="5"/>
  <c r="N135" i="5" s="1"/>
  <c r="M136" i="5"/>
  <c r="N136" i="5" s="1"/>
  <c r="M137" i="5"/>
  <c r="N137" i="5" s="1"/>
  <c r="M138" i="5"/>
  <c r="N138" i="5" s="1"/>
  <c r="M139" i="5"/>
  <c r="N139" i="5" s="1"/>
  <c r="M140" i="5"/>
  <c r="N140" i="5" s="1"/>
  <c r="M141" i="5"/>
  <c r="N141" i="5" s="1"/>
  <c r="M142" i="5"/>
  <c r="N142" i="5" s="1"/>
  <c r="M143" i="5"/>
  <c r="N143" i="5" s="1"/>
  <c r="M144" i="5"/>
  <c r="N144" i="5" s="1"/>
  <c r="M145" i="5"/>
  <c r="N145" i="5" s="1"/>
  <c r="M146" i="5"/>
  <c r="N146" i="5" s="1"/>
  <c r="M147" i="5"/>
  <c r="N147" i="5" s="1"/>
  <c r="M148" i="5"/>
  <c r="N148" i="5" s="1"/>
  <c r="M149" i="5"/>
  <c r="N149" i="5" s="1"/>
  <c r="M150" i="5"/>
  <c r="N150" i="5" s="1"/>
  <c r="M151" i="5"/>
  <c r="N151" i="5" s="1"/>
  <c r="M152" i="5"/>
  <c r="N152" i="5" s="1"/>
  <c r="M153" i="5"/>
  <c r="N153" i="5" s="1"/>
  <c r="M154" i="5"/>
  <c r="N154" i="5" s="1"/>
  <c r="M155" i="5"/>
  <c r="N155" i="5" s="1"/>
  <c r="M156" i="5"/>
  <c r="N156" i="5" s="1"/>
  <c r="M157" i="5"/>
  <c r="N157" i="5" s="1"/>
  <c r="M158" i="5"/>
  <c r="N158" i="5" s="1"/>
  <c r="M159" i="5"/>
  <c r="N159" i="5" s="1"/>
  <c r="M160" i="5"/>
  <c r="N160" i="5" s="1"/>
  <c r="M161" i="5"/>
  <c r="N161" i="5" s="1"/>
  <c r="M162" i="5"/>
  <c r="N162" i="5" s="1"/>
  <c r="M163" i="5"/>
  <c r="N163" i="5" s="1"/>
  <c r="M164" i="5"/>
  <c r="N164" i="5" s="1"/>
  <c r="M165" i="5"/>
  <c r="N165" i="5" s="1"/>
  <c r="M166" i="5"/>
  <c r="N166" i="5" s="1"/>
  <c r="M167" i="5"/>
  <c r="N167" i="5" s="1"/>
  <c r="M168" i="5"/>
  <c r="N168" i="5" s="1"/>
  <c r="M169" i="5"/>
  <c r="N169" i="5" s="1"/>
  <c r="M170" i="5"/>
  <c r="N170" i="5" s="1"/>
  <c r="M171" i="5"/>
  <c r="N171" i="5" s="1"/>
  <c r="M172" i="5"/>
  <c r="N172" i="5" s="1"/>
  <c r="M173" i="5"/>
  <c r="N173" i="5" s="1"/>
  <c r="M174" i="5"/>
  <c r="N174" i="5" s="1"/>
  <c r="M175" i="5"/>
  <c r="N175" i="5" s="1"/>
  <c r="M176" i="5"/>
  <c r="N176" i="5" s="1"/>
  <c r="M177" i="5"/>
  <c r="N177" i="5" s="1"/>
  <c r="M178" i="5"/>
  <c r="N178" i="5" s="1"/>
  <c r="M179" i="5"/>
  <c r="N179" i="5" s="1"/>
  <c r="M180" i="5"/>
  <c r="N180" i="5" s="1"/>
  <c r="M181" i="5"/>
  <c r="N181" i="5" s="1"/>
  <c r="M182" i="5"/>
  <c r="N182" i="5" s="1"/>
  <c r="M183" i="5"/>
  <c r="N183" i="5" s="1"/>
  <c r="M184" i="5"/>
  <c r="N184" i="5" s="1"/>
  <c r="M185" i="5"/>
  <c r="N185" i="5" s="1"/>
  <c r="M186" i="5"/>
  <c r="N186" i="5" s="1"/>
  <c r="M187" i="5"/>
  <c r="N187" i="5" s="1"/>
  <c r="M188" i="5"/>
  <c r="N188" i="5" s="1"/>
  <c r="M189" i="5"/>
  <c r="N189" i="5" s="1"/>
  <c r="M190" i="5"/>
  <c r="N190" i="5" s="1"/>
  <c r="M191" i="5"/>
  <c r="N191" i="5" s="1"/>
  <c r="M192" i="5"/>
  <c r="N192" i="5" s="1"/>
  <c r="M193" i="5"/>
  <c r="N193" i="5" s="1"/>
  <c r="M194" i="5"/>
  <c r="N194" i="5" s="1"/>
  <c r="M195" i="5"/>
  <c r="N195" i="5" s="1"/>
  <c r="M196" i="5"/>
  <c r="N196" i="5" s="1"/>
  <c r="M197" i="5"/>
  <c r="N197" i="5" s="1"/>
  <c r="M198" i="5"/>
  <c r="N198" i="5" s="1"/>
  <c r="M199" i="5"/>
  <c r="N199" i="5" s="1"/>
  <c r="M200" i="5"/>
  <c r="N200" i="5" s="1"/>
  <c r="M201" i="5"/>
  <c r="N201" i="5" s="1"/>
  <c r="M202" i="5"/>
  <c r="N202" i="5" s="1"/>
  <c r="M203" i="5"/>
  <c r="N203" i="5" s="1"/>
  <c r="M204" i="5"/>
  <c r="N204" i="5" s="1"/>
  <c r="M205" i="5"/>
  <c r="N205" i="5" s="1"/>
  <c r="M206" i="5"/>
  <c r="N206" i="5" s="1"/>
  <c r="M207" i="5"/>
  <c r="N207" i="5" s="1"/>
  <c r="M208" i="5"/>
  <c r="N208" i="5" s="1"/>
  <c r="M209" i="5"/>
  <c r="N209" i="5" s="1"/>
  <c r="M210" i="5"/>
  <c r="N210" i="5" s="1"/>
  <c r="M211" i="5"/>
  <c r="N211" i="5" s="1"/>
  <c r="M212" i="5"/>
  <c r="N212" i="5" s="1"/>
  <c r="M213" i="5"/>
  <c r="N213" i="5" s="1"/>
  <c r="M214" i="5"/>
  <c r="N214" i="5" s="1"/>
  <c r="M215" i="5"/>
  <c r="N215" i="5" s="1"/>
  <c r="M216" i="5"/>
  <c r="N216" i="5" s="1"/>
  <c r="M217" i="5"/>
  <c r="N217" i="5" s="1"/>
  <c r="M218" i="5"/>
  <c r="N218" i="5" s="1"/>
  <c r="M219" i="5"/>
  <c r="N219" i="5" s="1"/>
  <c r="M220" i="5"/>
  <c r="N220" i="5" s="1"/>
  <c r="M221" i="5"/>
  <c r="N221" i="5" s="1"/>
  <c r="M222" i="5"/>
  <c r="N222" i="5" s="1"/>
  <c r="M223" i="5"/>
  <c r="N223" i="5" s="1"/>
  <c r="M224" i="5"/>
  <c r="N224" i="5" s="1"/>
  <c r="M225" i="5"/>
  <c r="N225" i="5" s="1"/>
  <c r="M226" i="5"/>
  <c r="N226" i="5" s="1"/>
  <c r="M227" i="5"/>
  <c r="N227" i="5" s="1"/>
  <c r="M228" i="5"/>
  <c r="N228" i="5" s="1"/>
  <c r="M229" i="5"/>
  <c r="N229" i="5" s="1"/>
  <c r="M230" i="5"/>
  <c r="N230" i="5" s="1"/>
  <c r="M231" i="5"/>
  <c r="N231" i="5" s="1"/>
  <c r="M232" i="5"/>
  <c r="N232" i="5" s="1"/>
  <c r="M233" i="5"/>
  <c r="N233" i="5" s="1"/>
  <c r="M234" i="5"/>
  <c r="N234" i="5" s="1"/>
  <c r="M235" i="5"/>
  <c r="N235" i="5" s="1"/>
  <c r="M236" i="5"/>
  <c r="N236" i="5" s="1"/>
  <c r="M237" i="5"/>
  <c r="N237" i="5" s="1"/>
  <c r="M238" i="5"/>
  <c r="N238" i="5" s="1"/>
  <c r="M239" i="5"/>
  <c r="N239" i="5" s="1"/>
  <c r="M240" i="5"/>
  <c r="N240" i="5" s="1"/>
  <c r="M241" i="5"/>
  <c r="N241" i="5" s="1"/>
  <c r="M242" i="5"/>
  <c r="N242" i="5" s="1"/>
  <c r="M243" i="5"/>
  <c r="N243" i="5" s="1"/>
  <c r="M244" i="5"/>
  <c r="N244" i="5" s="1"/>
  <c r="M245" i="5"/>
  <c r="N245" i="5" s="1"/>
  <c r="M246" i="5"/>
  <c r="N246" i="5" s="1"/>
  <c r="M247" i="5"/>
  <c r="N247" i="5" s="1"/>
  <c r="M248" i="5"/>
  <c r="N248" i="5" s="1"/>
  <c r="M249" i="5"/>
  <c r="N249" i="5" s="1"/>
  <c r="M250" i="5"/>
  <c r="N250" i="5" s="1"/>
  <c r="M251" i="5"/>
  <c r="N251" i="5" s="1"/>
  <c r="M252" i="5"/>
  <c r="N252" i="5" s="1"/>
  <c r="M253" i="5"/>
  <c r="N253" i="5" s="1"/>
  <c r="M254" i="5"/>
  <c r="N254" i="5" s="1"/>
  <c r="M255" i="5"/>
  <c r="N255" i="5" s="1"/>
  <c r="M256" i="5"/>
  <c r="N256" i="5" s="1"/>
  <c r="M257" i="5"/>
  <c r="N257" i="5" s="1"/>
  <c r="M258" i="5"/>
  <c r="N258" i="5" s="1"/>
  <c r="M259" i="5"/>
  <c r="N259" i="5" s="1"/>
  <c r="M260" i="5"/>
  <c r="N260" i="5" s="1"/>
  <c r="M261" i="5"/>
  <c r="N261" i="5" s="1"/>
  <c r="M262" i="5"/>
  <c r="N262" i="5" s="1"/>
  <c r="M263" i="5"/>
  <c r="N263" i="5" s="1"/>
  <c r="M264" i="5"/>
  <c r="N264" i="5" s="1"/>
  <c r="M265" i="5"/>
  <c r="N265" i="5" s="1"/>
  <c r="M266" i="5"/>
  <c r="N266" i="5" s="1"/>
  <c r="M267" i="5"/>
  <c r="N267" i="5" s="1"/>
  <c r="M268" i="5"/>
  <c r="N268" i="5" s="1"/>
  <c r="M269" i="5"/>
  <c r="N269" i="5" s="1"/>
  <c r="M270" i="5"/>
  <c r="N270" i="5" s="1"/>
  <c r="M271" i="5"/>
  <c r="N271" i="5" s="1"/>
  <c r="M272" i="5"/>
  <c r="N272" i="5" s="1"/>
  <c r="M273" i="5"/>
  <c r="N273" i="5" s="1"/>
  <c r="M274" i="5"/>
  <c r="N274" i="5" s="1"/>
  <c r="M275" i="5"/>
  <c r="N275" i="5" s="1"/>
  <c r="M276" i="5"/>
  <c r="N276" i="5" s="1"/>
  <c r="M277" i="5"/>
  <c r="N277" i="5" s="1"/>
  <c r="M278" i="5"/>
  <c r="N278" i="5" s="1"/>
  <c r="M279" i="5"/>
  <c r="N279" i="5" s="1"/>
  <c r="M280" i="5"/>
  <c r="N280" i="5" s="1"/>
  <c r="M281" i="5"/>
  <c r="N281" i="5" s="1"/>
  <c r="M282" i="5"/>
  <c r="N282" i="5" s="1"/>
  <c r="M283" i="5"/>
  <c r="N283" i="5" s="1"/>
  <c r="M284" i="5"/>
  <c r="N284" i="5" s="1"/>
  <c r="M285" i="5"/>
  <c r="N285" i="5" s="1"/>
  <c r="M286" i="5"/>
  <c r="N286" i="5" s="1"/>
  <c r="M287" i="5"/>
  <c r="N287" i="5" s="1"/>
  <c r="M288" i="5"/>
  <c r="N288" i="5" s="1"/>
  <c r="M289" i="5"/>
  <c r="N289" i="5" s="1"/>
  <c r="M290" i="5"/>
  <c r="N290" i="5" s="1"/>
  <c r="M291" i="5"/>
  <c r="N291" i="5" s="1"/>
  <c r="M292" i="5"/>
  <c r="N292" i="5" s="1"/>
  <c r="M293" i="5"/>
  <c r="N293" i="5" s="1"/>
  <c r="M294" i="5"/>
  <c r="N294" i="5" s="1"/>
  <c r="M295" i="5"/>
  <c r="N295" i="5" s="1"/>
  <c r="M296" i="5"/>
  <c r="N296" i="5" s="1"/>
  <c r="M297" i="5"/>
  <c r="N297" i="5" s="1"/>
  <c r="M298" i="5"/>
  <c r="N298" i="5" s="1"/>
  <c r="M299" i="5"/>
  <c r="N299" i="5" s="1"/>
  <c r="M300" i="5"/>
  <c r="N300" i="5" s="1"/>
  <c r="M301" i="5"/>
  <c r="N301" i="5" s="1"/>
  <c r="M302" i="5"/>
  <c r="N302" i="5" s="1"/>
  <c r="M303" i="5"/>
  <c r="N303" i="5" s="1"/>
  <c r="M304" i="5"/>
  <c r="N304" i="5" s="1"/>
  <c r="M305" i="5"/>
  <c r="N305" i="5" s="1"/>
  <c r="M306" i="5"/>
  <c r="N306" i="5" s="1"/>
  <c r="M307" i="5"/>
  <c r="N307" i="5" s="1"/>
  <c r="M308" i="5"/>
  <c r="N308" i="5" s="1"/>
  <c r="M309" i="5"/>
  <c r="N309" i="5" s="1"/>
  <c r="M310" i="5"/>
  <c r="N310" i="5" s="1"/>
  <c r="M311" i="5"/>
  <c r="N311" i="5" s="1"/>
  <c r="M312" i="5"/>
  <c r="N312" i="5" s="1"/>
  <c r="M313" i="5"/>
  <c r="N313" i="5" s="1"/>
  <c r="M314" i="5"/>
  <c r="N314" i="5" s="1"/>
  <c r="M315" i="5"/>
  <c r="N315" i="5" s="1"/>
  <c r="M316" i="5"/>
  <c r="N316" i="5" s="1"/>
  <c r="M317" i="5"/>
  <c r="N317" i="5" s="1"/>
  <c r="M318" i="5"/>
  <c r="N318" i="5" s="1"/>
  <c r="M319" i="5"/>
  <c r="N319" i="5" s="1"/>
  <c r="M320" i="5"/>
  <c r="N320" i="5" s="1"/>
  <c r="M321" i="5"/>
  <c r="N321" i="5" s="1"/>
  <c r="M322" i="5"/>
  <c r="N322" i="5" s="1"/>
  <c r="M323" i="5"/>
  <c r="N323" i="5" s="1"/>
  <c r="M324" i="5"/>
  <c r="N324" i="5" s="1"/>
  <c r="M325" i="5"/>
  <c r="N325" i="5" s="1"/>
  <c r="M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6" i="5"/>
  <c r="G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G175" i="3"/>
  <c r="F85" i="2"/>
  <c r="G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N6" i="5" l="1"/>
  <c r="AF1" i="6"/>
  <c r="I325" i="1"/>
  <c r="L276" i="5"/>
  <c r="I276" i="5"/>
  <c r="O276" i="5" s="1"/>
  <c r="L277" i="5"/>
  <c r="I277" i="5"/>
  <c r="O277" i="5" s="1"/>
  <c r="L278" i="5"/>
  <c r="I278" i="5"/>
  <c r="O278" i="5" s="1"/>
  <c r="L279" i="5"/>
  <c r="I279" i="5"/>
  <c r="O279" i="5" s="1"/>
  <c r="I7" i="5"/>
  <c r="O7" i="5" s="1"/>
  <c r="L7" i="5"/>
  <c r="L8" i="5"/>
  <c r="I8" i="5"/>
  <c r="O8" i="5" s="1"/>
  <c r="L9" i="5"/>
  <c r="I9" i="5"/>
  <c r="O9" i="5" s="1"/>
  <c r="L10" i="5"/>
  <c r="I10" i="5"/>
  <c r="O10" i="5" s="1"/>
  <c r="L11" i="5"/>
  <c r="I11" i="5"/>
  <c r="O11" i="5" s="1"/>
  <c r="L12" i="5"/>
  <c r="I12" i="5"/>
  <c r="O12" i="5" s="1"/>
  <c r="L13" i="5"/>
  <c r="I13" i="5"/>
  <c r="O13" i="5" s="1"/>
  <c r="L14" i="5"/>
  <c r="I14" i="5"/>
  <c r="O14" i="5" s="1"/>
  <c r="L15" i="5"/>
  <c r="I15" i="5"/>
  <c r="O15" i="5" s="1"/>
  <c r="L16" i="5"/>
  <c r="I16" i="5"/>
  <c r="O16" i="5" s="1"/>
  <c r="L17" i="5"/>
  <c r="I17" i="5"/>
  <c r="O17" i="5" s="1"/>
  <c r="L18" i="5"/>
  <c r="I18" i="5"/>
  <c r="O18" i="5" s="1"/>
  <c r="L19" i="5"/>
  <c r="I19" i="5"/>
  <c r="O19" i="5" s="1"/>
  <c r="L20" i="5"/>
  <c r="I20" i="5"/>
  <c r="O20" i="5" s="1"/>
  <c r="L21" i="5"/>
  <c r="I21" i="5"/>
  <c r="O21" i="5" s="1"/>
  <c r="I22" i="5"/>
  <c r="O22" i="5" s="1"/>
  <c r="L22" i="5"/>
  <c r="L23" i="5"/>
  <c r="I23" i="5"/>
  <c r="O23" i="5" s="1"/>
  <c r="I24" i="5"/>
  <c r="O24" i="5" s="1"/>
  <c r="L24" i="5"/>
  <c r="L25" i="5"/>
  <c r="I25" i="5"/>
  <c r="O25" i="5" s="1"/>
  <c r="L26" i="5"/>
  <c r="I26" i="5"/>
  <c r="O26" i="5" s="1"/>
  <c r="L27" i="5"/>
  <c r="I27" i="5"/>
  <c r="O27" i="5" s="1"/>
  <c r="L28" i="5"/>
  <c r="I28" i="5"/>
  <c r="O28" i="5" s="1"/>
  <c r="L29" i="5"/>
  <c r="I29" i="5"/>
  <c r="O29" i="5" s="1"/>
  <c r="L30" i="5"/>
  <c r="I30" i="5"/>
  <c r="O30" i="5" s="1"/>
  <c r="I31" i="5"/>
  <c r="O31" i="5" s="1"/>
  <c r="L31" i="5"/>
  <c r="L32" i="5"/>
  <c r="I32" i="5"/>
  <c r="O32" i="5" s="1"/>
  <c r="L33" i="5"/>
  <c r="I33" i="5"/>
  <c r="O33" i="5" s="1"/>
  <c r="L34" i="5"/>
  <c r="I34" i="5"/>
  <c r="O34" i="5" s="1"/>
  <c r="L35" i="5"/>
  <c r="I35" i="5"/>
  <c r="O35" i="5" s="1"/>
  <c r="L36" i="5"/>
  <c r="I36" i="5"/>
  <c r="O36" i="5" s="1"/>
  <c r="I37" i="5"/>
  <c r="O37" i="5" s="1"/>
  <c r="L37" i="5"/>
  <c r="L38" i="5"/>
  <c r="I38" i="5"/>
  <c r="O38" i="5" s="1"/>
  <c r="I39" i="5"/>
  <c r="O39" i="5" s="1"/>
  <c r="L39" i="5"/>
  <c r="I40" i="5"/>
  <c r="O40" i="5" s="1"/>
  <c r="L40" i="5"/>
  <c r="L41" i="5"/>
  <c r="I41" i="5"/>
  <c r="O41" i="5" s="1"/>
  <c r="L42" i="5"/>
  <c r="I42" i="5"/>
  <c r="O42" i="5" s="1"/>
  <c r="L43" i="5"/>
  <c r="I43" i="5"/>
  <c r="O43" i="5" s="1"/>
  <c r="L44" i="5"/>
  <c r="I44" i="5"/>
  <c r="O44" i="5" s="1"/>
  <c r="I45" i="5"/>
  <c r="O45" i="5" s="1"/>
  <c r="L45" i="5"/>
  <c r="L46" i="5"/>
  <c r="I46" i="5"/>
  <c r="O46" i="5" s="1"/>
  <c r="L47" i="5"/>
  <c r="I47" i="5"/>
  <c r="O47" i="5" s="1"/>
  <c r="L48" i="5"/>
  <c r="I48" i="5"/>
  <c r="O48" i="5" s="1"/>
  <c r="L49" i="5"/>
  <c r="I49" i="5"/>
  <c r="O49" i="5" s="1"/>
  <c r="I50" i="5"/>
  <c r="O50" i="5" s="1"/>
  <c r="L50" i="5"/>
  <c r="L51" i="5"/>
  <c r="I51" i="5"/>
  <c r="O51" i="5" s="1"/>
  <c r="L52" i="5"/>
  <c r="I52" i="5"/>
  <c r="O52" i="5" s="1"/>
  <c r="L53" i="5"/>
  <c r="I53" i="5"/>
  <c r="O53" i="5" s="1"/>
  <c r="L54" i="5"/>
  <c r="I54" i="5"/>
  <c r="O54" i="5" s="1"/>
  <c r="L55" i="5"/>
  <c r="I55" i="5"/>
  <c r="O55" i="5" s="1"/>
  <c r="L56" i="5"/>
  <c r="I56" i="5"/>
  <c r="O56" i="5" s="1"/>
  <c r="L57" i="5"/>
  <c r="I57" i="5"/>
  <c r="O57" i="5" s="1"/>
  <c r="L58" i="5"/>
  <c r="I58" i="5"/>
  <c r="O58" i="5" s="1"/>
  <c r="L59" i="5"/>
  <c r="I59" i="5"/>
  <c r="O59" i="5" s="1"/>
  <c r="L60" i="5"/>
  <c r="I60" i="5"/>
  <c r="O60" i="5" s="1"/>
  <c r="L61" i="5"/>
  <c r="I61" i="5"/>
  <c r="O61" i="5" s="1"/>
  <c r="L62" i="5"/>
  <c r="I62" i="5"/>
  <c r="O62" i="5" s="1"/>
  <c r="I63" i="5"/>
  <c r="O63" i="5" s="1"/>
  <c r="L63" i="5"/>
  <c r="I64" i="5"/>
  <c r="O64" i="5" s="1"/>
  <c r="L64" i="5"/>
  <c r="I65" i="5"/>
  <c r="O65" i="5" s="1"/>
  <c r="L65" i="5"/>
  <c r="L66" i="5"/>
  <c r="I66" i="5"/>
  <c r="O66" i="5" s="1"/>
  <c r="I67" i="5"/>
  <c r="O67" i="5" s="1"/>
  <c r="L67" i="5"/>
  <c r="L68" i="5"/>
  <c r="I68" i="5"/>
  <c r="O68" i="5" s="1"/>
  <c r="I69" i="5"/>
  <c r="O69" i="5" s="1"/>
  <c r="L69" i="5"/>
  <c r="I70" i="5"/>
  <c r="O70" i="5" s="1"/>
  <c r="L70" i="5"/>
  <c r="I71" i="5"/>
  <c r="O71" i="5" s="1"/>
  <c r="L71" i="5"/>
  <c r="I72" i="5"/>
  <c r="O72" i="5" s="1"/>
  <c r="L72" i="5"/>
  <c r="I73" i="5"/>
  <c r="O73" i="5" s="1"/>
  <c r="L73" i="5"/>
  <c r="L74" i="5"/>
  <c r="I74" i="5"/>
  <c r="O74" i="5" s="1"/>
  <c r="L75" i="5"/>
  <c r="I75" i="5"/>
  <c r="O75" i="5" s="1"/>
  <c r="L76" i="5"/>
  <c r="I76" i="5"/>
  <c r="O76" i="5" s="1"/>
  <c r="L77" i="5"/>
  <c r="I77" i="5"/>
  <c r="O77" i="5" s="1"/>
  <c r="L78" i="5"/>
  <c r="I78" i="5"/>
  <c r="O78" i="5" s="1"/>
  <c r="L79" i="5"/>
  <c r="I79" i="5"/>
  <c r="O79" i="5" s="1"/>
  <c r="L80" i="5"/>
  <c r="I80" i="5"/>
  <c r="O80" i="5" s="1"/>
  <c r="L81" i="5"/>
  <c r="I81" i="5"/>
  <c r="O81" i="5" s="1"/>
  <c r="L82" i="5"/>
  <c r="I82" i="5"/>
  <c r="O82" i="5" s="1"/>
  <c r="L83" i="5"/>
  <c r="I83" i="5"/>
  <c r="O83" i="5" s="1"/>
  <c r="L84" i="5"/>
  <c r="I84" i="5"/>
  <c r="O84" i="5" s="1"/>
  <c r="L85" i="5"/>
  <c r="I85" i="5"/>
  <c r="O85" i="5" s="1"/>
  <c r="L86" i="5"/>
  <c r="I86" i="5"/>
  <c r="O86" i="5" s="1"/>
  <c r="L87" i="5"/>
  <c r="I87" i="5"/>
  <c r="O87" i="5" s="1"/>
  <c r="L88" i="5"/>
  <c r="I88" i="5"/>
  <c r="O88" i="5" s="1"/>
  <c r="L89" i="5"/>
  <c r="I89" i="5"/>
  <c r="O89" i="5" s="1"/>
  <c r="L90" i="5"/>
  <c r="I90" i="5"/>
  <c r="O90" i="5" s="1"/>
  <c r="L91" i="5"/>
  <c r="I91" i="5"/>
  <c r="O91" i="5" s="1"/>
  <c r="L92" i="5"/>
  <c r="I92" i="5"/>
  <c r="O92" i="5" s="1"/>
  <c r="L93" i="5"/>
  <c r="I93" i="5"/>
  <c r="O93" i="5" s="1"/>
  <c r="L94" i="5"/>
  <c r="I94" i="5"/>
  <c r="O94" i="5" s="1"/>
  <c r="I95" i="5"/>
  <c r="O95" i="5" s="1"/>
  <c r="L95" i="5"/>
  <c r="L96" i="5"/>
  <c r="I96" i="5"/>
  <c r="O96" i="5" s="1"/>
  <c r="L97" i="5"/>
  <c r="I97" i="5"/>
  <c r="O97" i="5" s="1"/>
  <c r="L98" i="5"/>
  <c r="I98" i="5"/>
  <c r="O98" i="5" s="1"/>
  <c r="L99" i="5"/>
  <c r="I99" i="5"/>
  <c r="O99" i="5" s="1"/>
  <c r="I100" i="5"/>
  <c r="O100" i="5" s="1"/>
  <c r="L100" i="5"/>
  <c r="L101" i="5"/>
  <c r="I101" i="5"/>
  <c r="O101" i="5" s="1"/>
  <c r="I102" i="5"/>
  <c r="O102" i="5" s="1"/>
  <c r="L102" i="5"/>
  <c r="L103" i="5"/>
  <c r="I103" i="5"/>
  <c r="O103" i="5" s="1"/>
  <c r="I104" i="5"/>
  <c r="O104" i="5" s="1"/>
  <c r="L104" i="5"/>
  <c r="L105" i="5"/>
  <c r="I105" i="5"/>
  <c r="O105" i="5" s="1"/>
  <c r="L106" i="5"/>
  <c r="I106" i="5"/>
  <c r="O106" i="5" s="1"/>
  <c r="I107" i="5"/>
  <c r="O107" i="5" s="1"/>
  <c r="L107" i="5"/>
  <c r="I108" i="5"/>
  <c r="O108" i="5" s="1"/>
  <c r="L108" i="5"/>
  <c r="L109" i="5"/>
  <c r="I109" i="5"/>
  <c r="O109" i="5" s="1"/>
  <c r="I110" i="5"/>
  <c r="O110" i="5" s="1"/>
  <c r="L110" i="5"/>
  <c r="I111" i="5"/>
  <c r="O111" i="5" s="1"/>
  <c r="L111" i="5"/>
  <c r="I112" i="5"/>
  <c r="O112" i="5" s="1"/>
  <c r="L112" i="5"/>
  <c r="I113" i="5"/>
  <c r="O113" i="5" s="1"/>
  <c r="L113" i="5"/>
  <c r="I114" i="5"/>
  <c r="O114" i="5" s="1"/>
  <c r="L114" i="5"/>
  <c r="L115" i="5"/>
  <c r="I115" i="5"/>
  <c r="O115" i="5" s="1"/>
  <c r="L116" i="5"/>
  <c r="I116" i="5"/>
  <c r="O116" i="5" s="1"/>
  <c r="L117" i="5"/>
  <c r="I117" i="5"/>
  <c r="O117" i="5" s="1"/>
  <c r="L118" i="5"/>
  <c r="I118" i="5"/>
  <c r="O118" i="5" s="1"/>
  <c r="I119" i="5"/>
  <c r="O119" i="5" s="1"/>
  <c r="L119" i="5"/>
  <c r="I120" i="5"/>
  <c r="O120" i="5" s="1"/>
  <c r="L120" i="5"/>
  <c r="L121" i="5"/>
  <c r="I121" i="5"/>
  <c r="O121" i="5" s="1"/>
  <c r="I122" i="5"/>
  <c r="O122" i="5" s="1"/>
  <c r="L122" i="5"/>
  <c r="L123" i="5"/>
  <c r="I123" i="5"/>
  <c r="O123" i="5" s="1"/>
  <c r="I124" i="5"/>
  <c r="O124" i="5" s="1"/>
  <c r="L124" i="5"/>
  <c r="L125" i="5"/>
  <c r="I125" i="5"/>
  <c r="O125" i="5" s="1"/>
  <c r="I126" i="5"/>
  <c r="O126" i="5" s="1"/>
  <c r="L126" i="5"/>
  <c r="L127" i="5"/>
  <c r="I127" i="5"/>
  <c r="O127" i="5" s="1"/>
  <c r="I128" i="5"/>
  <c r="O128" i="5" s="1"/>
  <c r="L128" i="5"/>
  <c r="L129" i="5"/>
  <c r="I129" i="5"/>
  <c r="O129" i="5" s="1"/>
  <c r="I130" i="5"/>
  <c r="O130" i="5" s="1"/>
  <c r="L130" i="5"/>
  <c r="L131" i="5"/>
  <c r="I131" i="5"/>
  <c r="O131" i="5" s="1"/>
  <c r="I132" i="5"/>
  <c r="O132" i="5" s="1"/>
  <c r="L132" i="5"/>
  <c r="L133" i="5"/>
  <c r="I133" i="5"/>
  <c r="O133" i="5" s="1"/>
  <c r="L134" i="5"/>
  <c r="I134" i="5"/>
  <c r="O134" i="5" s="1"/>
  <c r="L135" i="5"/>
  <c r="I135" i="5"/>
  <c r="O135" i="5" s="1"/>
  <c r="L136" i="5"/>
  <c r="I136" i="5"/>
  <c r="O136" i="5" s="1"/>
  <c r="L137" i="5"/>
  <c r="I137" i="5"/>
  <c r="O137" i="5" s="1"/>
  <c r="L138" i="5"/>
  <c r="I138" i="5"/>
  <c r="O138" i="5" s="1"/>
  <c r="L139" i="5"/>
  <c r="I139" i="5"/>
  <c r="O139" i="5" s="1"/>
  <c r="L140" i="5"/>
  <c r="I140" i="5"/>
  <c r="O140" i="5" s="1"/>
  <c r="L141" i="5"/>
  <c r="I141" i="5"/>
  <c r="O141" i="5" s="1"/>
  <c r="I142" i="5"/>
  <c r="O142" i="5" s="1"/>
  <c r="L142" i="5"/>
  <c r="L143" i="5"/>
  <c r="I143" i="5"/>
  <c r="O143" i="5" s="1"/>
  <c r="L144" i="5"/>
  <c r="I144" i="5"/>
  <c r="O144" i="5" s="1"/>
  <c r="L145" i="5"/>
  <c r="I145" i="5"/>
  <c r="O145" i="5" s="1"/>
  <c r="L146" i="5"/>
  <c r="I146" i="5"/>
  <c r="O146" i="5" s="1"/>
  <c r="I147" i="5"/>
  <c r="O147" i="5" s="1"/>
  <c r="L147" i="5"/>
  <c r="I148" i="5"/>
  <c r="O148" i="5" s="1"/>
  <c r="L148" i="5"/>
  <c r="I149" i="5"/>
  <c r="O149" i="5" s="1"/>
  <c r="L149" i="5"/>
  <c r="L150" i="5"/>
  <c r="I150" i="5"/>
  <c r="O150" i="5" s="1"/>
  <c r="I151" i="5"/>
  <c r="O151" i="5" s="1"/>
  <c r="L151" i="5"/>
  <c r="I152" i="5"/>
  <c r="O152" i="5" s="1"/>
  <c r="L152" i="5"/>
  <c r="I153" i="5"/>
  <c r="O153" i="5" s="1"/>
  <c r="L153" i="5"/>
  <c r="I154" i="5"/>
  <c r="O154" i="5" s="1"/>
  <c r="L154" i="5"/>
  <c r="L155" i="5"/>
  <c r="I155" i="5"/>
  <c r="O155" i="5" s="1"/>
  <c r="L156" i="5"/>
  <c r="I156" i="5"/>
  <c r="O156" i="5" s="1"/>
  <c r="L157" i="5"/>
  <c r="I157" i="5"/>
  <c r="O157" i="5" s="1"/>
  <c r="L158" i="5"/>
  <c r="I158" i="5"/>
  <c r="O158" i="5" s="1"/>
  <c r="L159" i="5"/>
  <c r="I159" i="5"/>
  <c r="O159" i="5" s="1"/>
  <c r="I160" i="5"/>
  <c r="O160" i="5" s="1"/>
  <c r="L160" i="5"/>
  <c r="L161" i="5"/>
  <c r="I161" i="5"/>
  <c r="O161" i="5" s="1"/>
  <c r="I162" i="5"/>
  <c r="O162" i="5" s="1"/>
  <c r="L162" i="5"/>
  <c r="L163" i="5"/>
  <c r="I163" i="5"/>
  <c r="O163" i="5" s="1"/>
  <c r="L164" i="5"/>
  <c r="I164" i="5"/>
  <c r="O164" i="5" s="1"/>
  <c r="I165" i="5"/>
  <c r="O165" i="5" s="1"/>
  <c r="L165" i="5"/>
  <c r="L166" i="5"/>
  <c r="I166" i="5"/>
  <c r="O166" i="5" s="1"/>
  <c r="I167" i="5"/>
  <c r="O167" i="5" s="1"/>
  <c r="L167" i="5"/>
  <c r="L168" i="5"/>
  <c r="I168" i="5"/>
  <c r="O168" i="5" s="1"/>
  <c r="L169" i="5"/>
  <c r="I169" i="5"/>
  <c r="O169" i="5" s="1"/>
  <c r="L170" i="5"/>
  <c r="I170" i="5"/>
  <c r="O170" i="5" s="1"/>
  <c r="L171" i="5"/>
  <c r="I171" i="5"/>
  <c r="O171" i="5" s="1"/>
  <c r="L172" i="5"/>
  <c r="I172" i="5"/>
  <c r="O172" i="5" s="1"/>
  <c r="L173" i="5"/>
  <c r="I173" i="5"/>
  <c r="O173" i="5" s="1"/>
  <c r="L174" i="5"/>
  <c r="I174" i="5"/>
  <c r="O174" i="5" s="1"/>
  <c r="I175" i="5"/>
  <c r="O175" i="5" s="1"/>
  <c r="L175" i="5"/>
  <c r="I176" i="5"/>
  <c r="O176" i="5" s="1"/>
  <c r="L176" i="5"/>
  <c r="L177" i="5"/>
  <c r="I177" i="5"/>
  <c r="O177" i="5" s="1"/>
  <c r="L178" i="5"/>
  <c r="I178" i="5"/>
  <c r="O178" i="5" s="1"/>
  <c r="L179" i="5"/>
  <c r="I179" i="5"/>
  <c r="O179" i="5" s="1"/>
  <c r="L180" i="5"/>
  <c r="I180" i="5"/>
  <c r="O180" i="5" s="1"/>
  <c r="L181" i="5"/>
  <c r="I181" i="5"/>
  <c r="O181" i="5" s="1"/>
  <c r="L182" i="5"/>
  <c r="I182" i="5"/>
  <c r="O182" i="5" s="1"/>
  <c r="L183" i="5"/>
  <c r="I183" i="5"/>
  <c r="O183" i="5" s="1"/>
  <c r="L184" i="5"/>
  <c r="I184" i="5"/>
  <c r="O184" i="5" s="1"/>
  <c r="L185" i="5"/>
  <c r="I185" i="5"/>
  <c r="O185" i="5" s="1"/>
  <c r="I186" i="5"/>
  <c r="O186" i="5" s="1"/>
  <c r="L186" i="5"/>
  <c r="L187" i="5"/>
  <c r="I187" i="5"/>
  <c r="O187" i="5" s="1"/>
  <c r="I188" i="5"/>
  <c r="O188" i="5" s="1"/>
  <c r="L188" i="5"/>
  <c r="L189" i="5"/>
  <c r="I189" i="5"/>
  <c r="O189" i="5" s="1"/>
  <c r="L190" i="5"/>
  <c r="I190" i="5"/>
  <c r="O190" i="5" s="1"/>
  <c r="L191" i="5"/>
  <c r="I191" i="5"/>
  <c r="O191" i="5" s="1"/>
  <c r="I192" i="5"/>
  <c r="O192" i="5" s="1"/>
  <c r="L192" i="5"/>
  <c r="L193" i="5"/>
  <c r="I193" i="5"/>
  <c r="O193" i="5" s="1"/>
  <c r="L194" i="5"/>
  <c r="I194" i="5"/>
  <c r="O194" i="5" s="1"/>
  <c r="L195" i="5"/>
  <c r="I195" i="5"/>
  <c r="O195" i="5" s="1"/>
  <c r="I196" i="5"/>
  <c r="O196" i="5" s="1"/>
  <c r="L196" i="5"/>
  <c r="L197" i="5"/>
  <c r="I197" i="5"/>
  <c r="O197" i="5" s="1"/>
  <c r="I198" i="5"/>
  <c r="O198" i="5" s="1"/>
  <c r="L198" i="5"/>
  <c r="L199" i="5"/>
  <c r="I199" i="5"/>
  <c r="O199" i="5" s="1"/>
  <c r="L200" i="5"/>
  <c r="I200" i="5"/>
  <c r="O200" i="5" s="1"/>
  <c r="L201" i="5"/>
  <c r="I201" i="5"/>
  <c r="O201" i="5" s="1"/>
  <c r="I202" i="5"/>
  <c r="O202" i="5" s="1"/>
  <c r="L202" i="5"/>
  <c r="L203" i="5"/>
  <c r="I203" i="5"/>
  <c r="O203" i="5" s="1"/>
  <c r="I204" i="5"/>
  <c r="O204" i="5" s="1"/>
  <c r="L204" i="5"/>
  <c r="L205" i="5"/>
  <c r="I205" i="5"/>
  <c r="O205" i="5" s="1"/>
  <c r="I206" i="5"/>
  <c r="O206" i="5" s="1"/>
  <c r="L206" i="5"/>
  <c r="L207" i="5"/>
  <c r="I207" i="5"/>
  <c r="O207" i="5" s="1"/>
  <c r="I208" i="5"/>
  <c r="O208" i="5" s="1"/>
  <c r="L208" i="5"/>
  <c r="L209" i="5"/>
  <c r="I209" i="5"/>
  <c r="O209" i="5" s="1"/>
  <c r="L210" i="5"/>
  <c r="I210" i="5"/>
  <c r="O210" i="5" s="1"/>
  <c r="I211" i="5"/>
  <c r="O211" i="5" s="1"/>
  <c r="L211" i="5"/>
  <c r="L212" i="5"/>
  <c r="I212" i="5"/>
  <c r="O212" i="5" s="1"/>
  <c r="I213" i="5"/>
  <c r="O213" i="5" s="1"/>
  <c r="L213" i="5"/>
  <c r="I214" i="5"/>
  <c r="O214" i="5" s="1"/>
  <c r="L214" i="5"/>
  <c r="I215" i="5"/>
  <c r="O215" i="5" s="1"/>
  <c r="L215" i="5"/>
  <c r="I216" i="5"/>
  <c r="O216" i="5" s="1"/>
  <c r="L216" i="5"/>
  <c r="I217" i="5"/>
  <c r="O217" i="5" s="1"/>
  <c r="L217" i="5"/>
  <c r="I218" i="5"/>
  <c r="O218" i="5" s="1"/>
  <c r="L218" i="5"/>
  <c r="I219" i="5"/>
  <c r="O219" i="5" s="1"/>
  <c r="L219" i="5"/>
  <c r="I220" i="5"/>
  <c r="O220" i="5" s="1"/>
  <c r="L220" i="5"/>
  <c r="L221" i="5"/>
  <c r="I221" i="5"/>
  <c r="O221" i="5" s="1"/>
  <c r="L222" i="5"/>
  <c r="I222" i="5"/>
  <c r="O222" i="5" s="1"/>
  <c r="I223" i="5"/>
  <c r="O223" i="5" s="1"/>
  <c r="L223" i="5"/>
  <c r="I224" i="5"/>
  <c r="O224" i="5" s="1"/>
  <c r="L224" i="5"/>
  <c r="I225" i="5"/>
  <c r="O225" i="5" s="1"/>
  <c r="L225" i="5"/>
  <c r="I226" i="5"/>
  <c r="O226" i="5" s="1"/>
  <c r="L226" i="5"/>
  <c r="I227" i="5"/>
  <c r="O227" i="5" s="1"/>
  <c r="L227" i="5"/>
  <c r="I228" i="5"/>
  <c r="O228" i="5" s="1"/>
  <c r="L228" i="5"/>
  <c r="I229" i="5"/>
  <c r="O229" i="5" s="1"/>
  <c r="L229" i="5"/>
  <c r="I230" i="5"/>
  <c r="O230" i="5" s="1"/>
  <c r="L230" i="5"/>
  <c r="L231" i="5"/>
  <c r="I231" i="5"/>
  <c r="O231" i="5" s="1"/>
  <c r="I232" i="5"/>
  <c r="O232" i="5" s="1"/>
  <c r="L232" i="5"/>
  <c r="I233" i="5"/>
  <c r="O233" i="5" s="1"/>
  <c r="L233" i="5"/>
  <c r="L234" i="5"/>
  <c r="I234" i="5"/>
  <c r="O234" i="5" s="1"/>
  <c r="I235" i="5"/>
  <c r="O235" i="5" s="1"/>
  <c r="L235" i="5"/>
  <c r="I236" i="5"/>
  <c r="O236" i="5" s="1"/>
  <c r="L236" i="5"/>
  <c r="L237" i="5"/>
  <c r="I237" i="5"/>
  <c r="O237" i="5" s="1"/>
  <c r="I238" i="5"/>
  <c r="O238" i="5" s="1"/>
  <c r="L238" i="5"/>
  <c r="I239" i="5"/>
  <c r="O239" i="5" s="1"/>
  <c r="L239" i="5"/>
  <c r="I240" i="5"/>
  <c r="O240" i="5" s="1"/>
  <c r="L240" i="5"/>
  <c r="I241" i="5"/>
  <c r="O241" i="5" s="1"/>
  <c r="L241" i="5"/>
  <c r="I242" i="5"/>
  <c r="O242" i="5" s="1"/>
  <c r="L242" i="5"/>
  <c r="I243" i="5"/>
  <c r="O243" i="5" s="1"/>
  <c r="L243" i="5"/>
  <c r="L244" i="5"/>
  <c r="I244" i="5"/>
  <c r="O244" i="5" s="1"/>
  <c r="I245" i="5"/>
  <c r="O245" i="5" s="1"/>
  <c r="L245" i="5"/>
  <c r="L246" i="5"/>
  <c r="I246" i="5"/>
  <c r="O246" i="5" s="1"/>
  <c r="I247" i="5"/>
  <c r="O247" i="5" s="1"/>
  <c r="L247" i="5"/>
  <c r="L248" i="5"/>
  <c r="I248" i="5"/>
  <c r="O248" i="5" s="1"/>
  <c r="I249" i="5"/>
  <c r="O249" i="5" s="1"/>
  <c r="L249" i="5"/>
  <c r="L250" i="5"/>
  <c r="I250" i="5"/>
  <c r="O250" i="5" s="1"/>
  <c r="L251" i="5"/>
  <c r="I251" i="5"/>
  <c r="O251" i="5" s="1"/>
  <c r="L252" i="5"/>
  <c r="I252" i="5"/>
  <c r="O252" i="5" s="1"/>
  <c r="L253" i="5"/>
  <c r="I253" i="5"/>
  <c r="O253" i="5" s="1"/>
  <c r="L254" i="5"/>
  <c r="I254" i="5"/>
  <c r="O254" i="5" s="1"/>
  <c r="L255" i="5"/>
  <c r="I255" i="5"/>
  <c r="O255" i="5" s="1"/>
  <c r="I256" i="5"/>
  <c r="O256" i="5" s="1"/>
  <c r="L256" i="5"/>
  <c r="L257" i="5"/>
  <c r="I257" i="5"/>
  <c r="O257" i="5" s="1"/>
  <c r="I258" i="5"/>
  <c r="O258" i="5" s="1"/>
  <c r="L258" i="5"/>
  <c r="L259" i="5"/>
  <c r="I259" i="5"/>
  <c r="O259" i="5" s="1"/>
  <c r="L260" i="5"/>
  <c r="I260" i="5"/>
  <c r="O260" i="5" s="1"/>
  <c r="L261" i="5"/>
  <c r="I261" i="5"/>
  <c r="O261" i="5" s="1"/>
  <c r="L262" i="5"/>
  <c r="I262" i="5"/>
  <c r="O262" i="5" s="1"/>
  <c r="L263" i="5"/>
  <c r="I263" i="5"/>
  <c r="O263" i="5" s="1"/>
  <c r="I264" i="5"/>
  <c r="O264" i="5" s="1"/>
  <c r="L264" i="5"/>
  <c r="L265" i="5"/>
  <c r="I265" i="5"/>
  <c r="O265" i="5" s="1"/>
  <c r="I266" i="5"/>
  <c r="O266" i="5" s="1"/>
  <c r="L266" i="5"/>
  <c r="L267" i="5"/>
  <c r="I267" i="5"/>
  <c r="I268" i="5"/>
  <c r="L268" i="5"/>
  <c r="L269" i="5"/>
  <c r="I269" i="5"/>
  <c r="I270" i="5"/>
  <c r="L270" i="5"/>
  <c r="L271" i="5"/>
  <c r="I271" i="5"/>
  <c r="I272" i="5"/>
  <c r="L272" i="5"/>
  <c r="I273" i="5"/>
  <c r="L273" i="5"/>
  <c r="L274" i="5"/>
  <c r="I274" i="5"/>
  <c r="L275" i="5"/>
  <c r="I275" i="5"/>
  <c r="I280" i="5"/>
  <c r="L280" i="5"/>
  <c r="L281" i="5"/>
  <c r="I281" i="5"/>
  <c r="I282" i="5"/>
  <c r="L282" i="5"/>
  <c r="L283" i="5"/>
  <c r="I283" i="5"/>
  <c r="I284" i="5"/>
  <c r="L284" i="5"/>
  <c r="L285" i="5"/>
  <c r="I285" i="5"/>
  <c r="L286" i="5"/>
  <c r="I286" i="5"/>
  <c r="I287" i="5"/>
  <c r="L287" i="5"/>
  <c r="L288" i="5"/>
  <c r="I288" i="5"/>
  <c r="L289" i="5"/>
  <c r="I289" i="5"/>
  <c r="L290" i="5"/>
  <c r="I290" i="5"/>
  <c r="I291" i="5"/>
  <c r="L291" i="5"/>
  <c r="L292" i="5"/>
  <c r="I292" i="5"/>
  <c r="I293" i="5"/>
  <c r="L293" i="5"/>
  <c r="L294" i="5"/>
  <c r="I294" i="5"/>
  <c r="L295" i="5"/>
  <c r="I295" i="5"/>
  <c r="L296" i="5"/>
  <c r="I296" i="5"/>
  <c r="I297" i="5"/>
  <c r="L297" i="5"/>
  <c r="L298" i="5"/>
  <c r="I298" i="5"/>
  <c r="L299" i="5"/>
  <c r="I299" i="5"/>
  <c r="L300" i="5"/>
  <c r="I300" i="5"/>
  <c r="L301" i="5"/>
  <c r="I301" i="5"/>
  <c r="L302" i="5"/>
  <c r="I302" i="5"/>
  <c r="L303" i="5"/>
  <c r="I303" i="5"/>
  <c r="L304" i="5"/>
  <c r="I304" i="5"/>
  <c r="I305" i="5"/>
  <c r="L305" i="5"/>
  <c r="I306" i="5"/>
  <c r="L306" i="5"/>
  <c r="I307" i="5"/>
  <c r="L307" i="5"/>
  <c r="I308" i="5"/>
  <c r="L308" i="5"/>
  <c r="L309" i="5"/>
  <c r="I309" i="5"/>
  <c r="I310" i="5"/>
  <c r="L310" i="5"/>
  <c r="L311" i="5"/>
  <c r="I311" i="5"/>
  <c r="L312" i="5"/>
  <c r="I312" i="5"/>
  <c r="L313" i="5"/>
  <c r="I313" i="5"/>
  <c r="L314" i="5"/>
  <c r="I314" i="5"/>
  <c r="L315" i="5"/>
  <c r="I315" i="5"/>
  <c r="L316" i="5"/>
  <c r="I316" i="5"/>
  <c r="L317" i="5"/>
  <c r="I317" i="5"/>
  <c r="L318" i="5"/>
  <c r="I318" i="5"/>
  <c r="L319" i="5"/>
  <c r="I319" i="5"/>
  <c r="L320" i="5"/>
  <c r="I320" i="5"/>
  <c r="L321" i="5"/>
  <c r="I321" i="5"/>
  <c r="L322" i="5"/>
  <c r="I322" i="5"/>
  <c r="L323" i="5"/>
  <c r="I323" i="5"/>
  <c r="L324" i="5"/>
  <c r="I324" i="5"/>
  <c r="L325" i="5"/>
  <c r="I325" i="5"/>
  <c r="I6" i="5"/>
  <c r="H326" i="5"/>
  <c r="O267" i="5"/>
  <c r="O268" i="5"/>
  <c r="O269" i="5"/>
  <c r="O270" i="5"/>
  <c r="O271" i="5"/>
  <c r="O272" i="5"/>
  <c r="O273" i="5"/>
  <c r="O274" i="5"/>
  <c r="O275"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Q325" i="5"/>
  <c r="Q324" i="5"/>
  <c r="Q323" i="5"/>
  <c r="Q322" i="5"/>
  <c r="Q321" i="5"/>
  <c r="Q320" i="5"/>
  <c r="Q319" i="5"/>
  <c r="Q318" i="5"/>
  <c r="Q317" i="5"/>
  <c r="Q316" i="5"/>
  <c r="Q315" i="5"/>
  <c r="Q314" i="5"/>
  <c r="Q313" i="5"/>
  <c r="Q312" i="5"/>
  <c r="Q311" i="5"/>
  <c r="Q310" i="5"/>
  <c r="Q309" i="5"/>
  <c r="Q308" i="5"/>
  <c r="Q307" i="5"/>
  <c r="Q306" i="5"/>
  <c r="Q305" i="5"/>
  <c r="Q304" i="5"/>
  <c r="Q303" i="5"/>
  <c r="Q302" i="5"/>
  <c r="Q301" i="5"/>
  <c r="Q300" i="5"/>
  <c r="Q299" i="5"/>
  <c r="Q298" i="5"/>
  <c r="Q297" i="5"/>
  <c r="Q296" i="5"/>
  <c r="Q295" i="5"/>
  <c r="Q294" i="5"/>
  <c r="Q293" i="5"/>
  <c r="Q292" i="5"/>
  <c r="Q291" i="5"/>
  <c r="Q290" i="5"/>
  <c r="Q289" i="5"/>
  <c r="Q288" i="5"/>
  <c r="Q287" i="5"/>
  <c r="Q286" i="5"/>
  <c r="Q285" i="5"/>
  <c r="Q284" i="5"/>
  <c r="Q283" i="5"/>
  <c r="Q282" i="5"/>
  <c r="Q281" i="5"/>
  <c r="Q280" i="5"/>
  <c r="Q279" i="5"/>
  <c r="Q278" i="5"/>
  <c r="Q277" i="5"/>
  <c r="Q276" i="5"/>
  <c r="Q275" i="5"/>
  <c r="Q274" i="5"/>
  <c r="Q273" i="5"/>
  <c r="Q272" i="5"/>
  <c r="Q271" i="5"/>
  <c r="Q270" i="5"/>
  <c r="Q269" i="5"/>
  <c r="Q268" i="5"/>
  <c r="Q267" i="5"/>
  <c r="Q266" i="5"/>
  <c r="Q265" i="5"/>
  <c r="Q264" i="5"/>
  <c r="Q263" i="5"/>
  <c r="Q262" i="5"/>
  <c r="Q261" i="5"/>
  <c r="Q260" i="5"/>
  <c r="Q259" i="5"/>
  <c r="Q258" i="5"/>
  <c r="Q257" i="5"/>
  <c r="Q256" i="5"/>
  <c r="Q255" i="5"/>
  <c r="Q254" i="5"/>
  <c r="Q253" i="5"/>
  <c r="Q252" i="5"/>
  <c r="Q251" i="5"/>
  <c r="Q250" i="5"/>
  <c r="Q249" i="5"/>
  <c r="Q248" i="5"/>
  <c r="Q247" i="5"/>
  <c r="Q246" i="5"/>
  <c r="Q245" i="5"/>
  <c r="Q244" i="5"/>
  <c r="Q243" i="5"/>
  <c r="Q242" i="5"/>
  <c r="Q241" i="5"/>
  <c r="Q240" i="5"/>
  <c r="Q239" i="5"/>
  <c r="Q238" i="5"/>
  <c r="Q237" i="5"/>
  <c r="Q236" i="5"/>
  <c r="Q235" i="5"/>
  <c r="Q234" i="5"/>
  <c r="Q233" i="5"/>
  <c r="Q232" i="5"/>
  <c r="Q231" i="5"/>
  <c r="Q230" i="5"/>
  <c r="Q229" i="5"/>
  <c r="Q228" i="5"/>
  <c r="Q227" i="5"/>
  <c r="Q226" i="5"/>
  <c r="Q225" i="5"/>
  <c r="Q224" i="5"/>
  <c r="Q223" i="5"/>
  <c r="Q222" i="5"/>
  <c r="Q221" i="5"/>
  <c r="Q220" i="5"/>
  <c r="Q219" i="5"/>
  <c r="Q218" i="5"/>
  <c r="Q217" i="5"/>
  <c r="Q216" i="5"/>
  <c r="Q215" i="5"/>
  <c r="Q214" i="5"/>
  <c r="Q213" i="5"/>
  <c r="Q212" i="5"/>
  <c r="Q211" i="5"/>
  <c r="Q210" i="5"/>
  <c r="Q209" i="5"/>
  <c r="Q208" i="5"/>
  <c r="Q207" i="5"/>
  <c r="Q206" i="5"/>
  <c r="Q205" i="5"/>
  <c r="Q204" i="5"/>
  <c r="Q203" i="5"/>
  <c r="Q202" i="5"/>
  <c r="Q201" i="5"/>
  <c r="Q200" i="5"/>
  <c r="Q199" i="5"/>
  <c r="Q198" i="5"/>
  <c r="Q197" i="5"/>
  <c r="Q196" i="5"/>
  <c r="Q195" i="5"/>
  <c r="Q194" i="5"/>
  <c r="Q193" i="5"/>
  <c r="Q192" i="5"/>
  <c r="Q191" i="5"/>
  <c r="Q190" i="5"/>
  <c r="Q189" i="5"/>
  <c r="Q188" i="5"/>
  <c r="Q187" i="5"/>
  <c r="Q186" i="5"/>
  <c r="Q185" i="5"/>
  <c r="Q184" i="5"/>
  <c r="Q183" i="5"/>
  <c r="Q182" i="5"/>
  <c r="Q181" i="5"/>
  <c r="Q180" i="5"/>
  <c r="Q179" i="5"/>
  <c r="Q178" i="5"/>
  <c r="Q177" i="5"/>
  <c r="Q176" i="5"/>
  <c r="Q175" i="5"/>
  <c r="Q174" i="5"/>
  <c r="Q173" i="5"/>
  <c r="Q172" i="5"/>
  <c r="Q171" i="5"/>
  <c r="Q170" i="5"/>
  <c r="Q169" i="5"/>
  <c r="Q168" i="5"/>
  <c r="Q167" i="5"/>
  <c r="Q166" i="5"/>
  <c r="Q165" i="5"/>
  <c r="Q164" i="5"/>
  <c r="Q163" i="5"/>
  <c r="Q162" i="5"/>
  <c r="Q161" i="5"/>
  <c r="Q160" i="5"/>
  <c r="Q159" i="5"/>
  <c r="Q158" i="5"/>
  <c r="Q157" i="5"/>
  <c r="Q156" i="5"/>
  <c r="Q155" i="5"/>
  <c r="Q154" i="5"/>
  <c r="Q153" i="5"/>
  <c r="Q152" i="5"/>
  <c r="Q151" i="5"/>
  <c r="Q150" i="5"/>
  <c r="Q149" i="5"/>
  <c r="Q148" i="5"/>
  <c r="Q147" i="5"/>
  <c r="Q146" i="5"/>
  <c r="Q145" i="5"/>
  <c r="Q144" i="5"/>
  <c r="Q143" i="5"/>
  <c r="Q142" i="5"/>
  <c r="Q141" i="5"/>
  <c r="Q140" i="5"/>
  <c r="Q139" i="5"/>
  <c r="Q138" i="5"/>
  <c r="Q137" i="5"/>
  <c r="Q136" i="5"/>
  <c r="Q135" i="5"/>
  <c r="Q134" i="5"/>
  <c r="Q133" i="5"/>
  <c r="Q132" i="5"/>
  <c r="Q131" i="5"/>
  <c r="Q130" i="5"/>
  <c r="Q129" i="5"/>
  <c r="Q128" i="5"/>
  <c r="Q127" i="5"/>
  <c r="Q126" i="5"/>
  <c r="Q125" i="5"/>
  <c r="Q124" i="5"/>
  <c r="Q123" i="5"/>
  <c r="Q122" i="5"/>
  <c r="Q121" i="5"/>
  <c r="Q120" i="5"/>
  <c r="Q119" i="5"/>
  <c r="Q118" i="5"/>
  <c r="Q117" i="5"/>
  <c r="Q116" i="5"/>
  <c r="Q115" i="5"/>
  <c r="Q114" i="5"/>
  <c r="Q113" i="5"/>
  <c r="Q112" i="5"/>
  <c r="Q111" i="5"/>
  <c r="Q110" i="5"/>
  <c r="Q109" i="5"/>
  <c r="Q108" i="5"/>
  <c r="Q107" i="5"/>
  <c r="Q106" i="5"/>
  <c r="Q105" i="5"/>
  <c r="Q104" i="5"/>
  <c r="Q103" i="5"/>
  <c r="Q102" i="5"/>
  <c r="Q101" i="5"/>
  <c r="Q100" i="5"/>
  <c r="Q99" i="5"/>
  <c r="Q98" i="5"/>
  <c r="Q97" i="5"/>
  <c r="Q96" i="5"/>
  <c r="Q95" i="5"/>
  <c r="Q94" i="5"/>
  <c r="Q93" i="5"/>
  <c r="Q92" i="5"/>
  <c r="Q91" i="5"/>
  <c r="Q90" i="5"/>
  <c r="Q89" i="5"/>
  <c r="Q88" i="5"/>
  <c r="Q87" i="5"/>
  <c r="Q86" i="5"/>
  <c r="Q85" i="5"/>
  <c r="Q84" i="5"/>
  <c r="Q83" i="5"/>
  <c r="Q82" i="5"/>
  <c r="Q81" i="5"/>
  <c r="Q80" i="5"/>
  <c r="Q79" i="5"/>
  <c r="Q78" i="5"/>
  <c r="Q77" i="5"/>
  <c r="Q76" i="5"/>
  <c r="Q75" i="5"/>
  <c r="Q74" i="5"/>
  <c r="Q73" i="5"/>
  <c r="Q72" i="5"/>
  <c r="Q71" i="5"/>
  <c r="Q70" i="5"/>
  <c r="Q69" i="5"/>
  <c r="Q68" i="5"/>
  <c r="Q67" i="5"/>
  <c r="Q66" i="5"/>
  <c r="Q65" i="5"/>
  <c r="Q64" i="5"/>
  <c r="Q63" i="5"/>
  <c r="Q62" i="5"/>
  <c r="Q61" i="5"/>
  <c r="Q60" i="5"/>
  <c r="Q59" i="5"/>
  <c r="Q58" i="5"/>
  <c r="Q57" i="5"/>
  <c r="Q56" i="5"/>
  <c r="Q55" i="5"/>
  <c r="Q54" i="5"/>
  <c r="Q53" i="5"/>
  <c r="Q52" i="5"/>
  <c r="Q51" i="5"/>
  <c r="Q50" i="5"/>
  <c r="Q49" i="5"/>
  <c r="Q48" i="5"/>
  <c r="Q47" i="5"/>
  <c r="Q46" i="5"/>
  <c r="Q45" i="5"/>
  <c r="Q44" i="5"/>
  <c r="Q43" i="5"/>
  <c r="Q42" i="5"/>
  <c r="Q41" i="5"/>
  <c r="Q40" i="5"/>
  <c r="Q39" i="5"/>
  <c r="Q38" i="5"/>
  <c r="Q37" i="5"/>
  <c r="Q36" i="5"/>
  <c r="Q35" i="5"/>
  <c r="Q34" i="5"/>
  <c r="Q33" i="5"/>
  <c r="Q32" i="5"/>
  <c r="Q31" i="5"/>
  <c r="Q30" i="5"/>
  <c r="Q29" i="5"/>
  <c r="Q28" i="5"/>
  <c r="Q27" i="5"/>
  <c r="Q26" i="5"/>
  <c r="Q25" i="5"/>
  <c r="Q24" i="5"/>
  <c r="Q23" i="5"/>
  <c r="Q22" i="5"/>
  <c r="Q21" i="5"/>
  <c r="Q20" i="5"/>
  <c r="Q19" i="5"/>
  <c r="Q18" i="5"/>
  <c r="Q17" i="5"/>
  <c r="Q16" i="5"/>
  <c r="Q15" i="5"/>
  <c r="Q14" i="5"/>
  <c r="Q13" i="5"/>
  <c r="Q12" i="5"/>
  <c r="Q11" i="5"/>
  <c r="Q10" i="5"/>
  <c r="Q9" i="5"/>
  <c r="Q8" i="5"/>
  <c r="Q7" i="5"/>
  <c r="Q6" i="5"/>
  <c r="K326" i="5"/>
  <c r="Z1" i="6" l="1"/>
  <c r="L326" i="5"/>
  <c r="I326" i="5"/>
  <c r="O326" i="5"/>
  <c r="R325" i="5" a="1"/>
  <c r="P325" i="5"/>
  <c r="P324" i="5"/>
  <c r="R324" i="5" a="1"/>
  <c r="P323" i="5"/>
  <c r="R323" i="5" a="1"/>
  <c r="P322" i="5"/>
  <c r="R322" i="5" a="1"/>
  <c r="P321" i="5"/>
  <c r="R321" i="5" a="1"/>
  <c r="P320" i="5"/>
  <c r="R320" i="5" a="1"/>
  <c r="P319" i="5"/>
  <c r="R319" i="5" a="1"/>
  <c r="R318" i="5" a="1"/>
  <c r="P318" i="5"/>
  <c r="P317" i="5"/>
  <c r="R317" i="5" a="1"/>
  <c r="P316" i="5"/>
  <c r="R316" i="5" a="1"/>
  <c r="P315" i="5"/>
  <c r="R315" i="5" a="1"/>
  <c r="P314" i="5"/>
  <c r="R314" i="5" a="1"/>
  <c r="P313" i="5"/>
  <c r="R313" i="5" a="1"/>
  <c r="P312" i="5"/>
  <c r="R312" i="5" a="1"/>
  <c r="R311" i="5" a="1"/>
  <c r="P311" i="5"/>
  <c r="R310" i="5" a="1"/>
  <c r="P310" i="5"/>
  <c r="R309" i="5" a="1"/>
  <c r="P309" i="5"/>
  <c r="P308" i="5"/>
  <c r="R308" i="5" a="1"/>
  <c r="R307" i="5" a="1"/>
  <c r="P307" i="5"/>
  <c r="R306" i="5" a="1"/>
  <c r="P306" i="5"/>
  <c r="R305" i="5" a="1"/>
  <c r="P305" i="5"/>
  <c r="R304" i="5" a="1"/>
  <c r="P304" i="5"/>
  <c r="R303" i="5" a="1"/>
  <c r="P303" i="5"/>
  <c r="R302" i="5" a="1"/>
  <c r="P302" i="5"/>
  <c r="R301" i="5" a="1"/>
  <c r="P301" i="5"/>
  <c r="R300" i="5" a="1"/>
  <c r="P300" i="5"/>
  <c r="P299" i="5"/>
  <c r="R299" i="5" a="1"/>
  <c r="R298" i="5" a="1"/>
  <c r="P298" i="5"/>
  <c r="P297" i="5"/>
  <c r="R297" i="5" a="1"/>
  <c r="P296" i="5"/>
  <c r="R296" i="5" a="1"/>
  <c r="P295" i="5"/>
  <c r="R295" i="5" a="1"/>
  <c r="P294" i="5"/>
  <c r="R294" i="5" a="1"/>
  <c r="P293" i="5"/>
  <c r="R293" i="5" a="1"/>
  <c r="P292" i="5"/>
  <c r="R292" i="5" a="1"/>
  <c r="P291" i="5"/>
  <c r="R291" i="5" a="1"/>
  <c r="P290" i="5"/>
  <c r="R290" i="5" a="1"/>
  <c r="P289" i="5"/>
  <c r="R289" i="5" a="1"/>
  <c r="P288" i="5"/>
  <c r="R288" i="5" a="1"/>
  <c r="P287" i="5"/>
  <c r="R287" i="5" a="1"/>
  <c r="P286" i="5"/>
  <c r="R286" i="5" a="1"/>
  <c r="R285" i="5" a="1"/>
  <c r="P285" i="5"/>
  <c r="P284" i="5"/>
  <c r="R284" i="5" a="1"/>
  <c r="P283" i="5"/>
  <c r="R283" i="5" a="1"/>
  <c r="P282" i="5"/>
  <c r="R282" i="5" a="1"/>
  <c r="P281" i="5"/>
  <c r="R281" i="5" a="1"/>
  <c r="P280" i="5"/>
  <c r="R280" i="5" a="1"/>
  <c r="P279" i="5"/>
  <c r="R279" i="5" a="1"/>
  <c r="R278" i="5" a="1"/>
  <c r="P278" i="5"/>
  <c r="P277" i="5"/>
  <c r="R277" i="5" a="1"/>
  <c r="P276" i="5"/>
  <c r="R276" i="5" a="1"/>
  <c r="P275" i="5"/>
  <c r="R275" i="5" a="1"/>
  <c r="P274" i="5"/>
  <c r="R274" i="5" a="1"/>
  <c r="R273" i="5" a="1"/>
  <c r="P273" i="5"/>
  <c r="R272" i="5" a="1"/>
  <c r="P272" i="5"/>
  <c r="P271" i="5"/>
  <c r="R271" i="5" a="1"/>
  <c r="P270" i="5"/>
  <c r="R270" i="5" a="1"/>
  <c r="P269" i="5"/>
  <c r="R269" i="5" a="1"/>
  <c r="P268" i="5"/>
  <c r="R268" i="5" a="1"/>
  <c r="R267" i="5" a="1"/>
  <c r="P267" i="5"/>
  <c r="P266" i="5"/>
  <c r="R266" i="5" a="1"/>
  <c r="R265" i="5" a="1"/>
  <c r="P265" i="5"/>
  <c r="P264" i="5"/>
  <c r="R264" i="5" a="1"/>
  <c r="R263" i="5" a="1"/>
  <c r="P263" i="5"/>
  <c r="R262" i="5" a="1"/>
  <c r="P262" i="5"/>
  <c r="R261" i="5" a="1"/>
  <c r="P261" i="5"/>
  <c r="P260" i="5"/>
  <c r="R260" i="5" a="1"/>
  <c r="P259" i="5"/>
  <c r="R259" i="5" a="1"/>
  <c r="R258" i="5" a="1"/>
  <c r="P258" i="5"/>
  <c r="R257" i="5" a="1"/>
  <c r="P257" i="5"/>
  <c r="R256" i="5" a="1"/>
  <c r="P256" i="5"/>
  <c r="R255" i="5" a="1"/>
  <c r="P255" i="5"/>
  <c r="P254" i="5"/>
  <c r="R254" i="5" a="1"/>
  <c r="P253" i="5"/>
  <c r="R253" i="5" a="1"/>
  <c r="P252" i="5"/>
  <c r="R252" i="5" a="1"/>
  <c r="P251" i="5"/>
  <c r="R251" i="5" a="1"/>
  <c r="R250" i="5" a="1"/>
  <c r="P250" i="5"/>
  <c r="R249" i="5" a="1"/>
  <c r="P249" i="5"/>
  <c r="R248" i="5" a="1"/>
  <c r="P248" i="5"/>
  <c r="P247" i="5"/>
  <c r="R247" i="5" a="1"/>
  <c r="R246" i="5" a="1"/>
  <c r="P246" i="5"/>
  <c r="P245" i="5"/>
  <c r="R245" i="5" a="1"/>
  <c r="P244" i="5"/>
  <c r="R244" i="5" a="1"/>
  <c r="P243" i="5"/>
  <c r="R243" i="5" a="1"/>
  <c r="P242" i="5"/>
  <c r="R242" i="5" a="1"/>
  <c r="P241" i="5"/>
  <c r="R241" i="5" a="1"/>
  <c r="P240" i="5"/>
  <c r="R240" i="5" a="1"/>
  <c r="P239" i="5"/>
  <c r="R239" i="5" a="1"/>
  <c r="P238" i="5"/>
  <c r="R238" i="5" a="1"/>
  <c r="P237" i="5"/>
  <c r="R237" i="5" a="1"/>
  <c r="P236" i="5"/>
  <c r="R236" i="5" a="1"/>
  <c r="P235" i="5"/>
  <c r="R235" i="5" a="1"/>
  <c r="P234" i="5"/>
  <c r="R234" i="5" a="1"/>
  <c r="P233" i="5"/>
  <c r="R233" i="5" a="1"/>
  <c r="P232" i="5"/>
  <c r="R232" i="5" a="1"/>
  <c r="R231" i="5" a="1"/>
  <c r="P231" i="5"/>
  <c r="R230" i="5" a="1"/>
  <c r="P230" i="5"/>
  <c r="P229" i="5"/>
  <c r="R229" i="5" a="1"/>
  <c r="P228" i="5"/>
  <c r="R228" i="5" a="1"/>
  <c r="P227" i="5"/>
  <c r="R227" i="5" a="1"/>
  <c r="R226" i="5" a="1"/>
  <c r="P226" i="5"/>
  <c r="P225" i="5"/>
  <c r="R225" i="5" a="1"/>
  <c r="P224" i="5"/>
  <c r="R224" i="5" a="1"/>
  <c r="R223" i="5" a="1"/>
  <c r="P223" i="5"/>
  <c r="R222" i="5" a="1"/>
  <c r="P222" i="5"/>
  <c r="R221" i="5" a="1"/>
  <c r="P221" i="5"/>
  <c r="R220" i="5" a="1"/>
  <c r="P220" i="5"/>
  <c r="R219" i="5" a="1"/>
  <c r="P219" i="5"/>
  <c r="R218" i="5" a="1"/>
  <c r="P218" i="5"/>
  <c r="R217" i="5" a="1"/>
  <c r="P217" i="5"/>
  <c r="R216" i="5" a="1"/>
  <c r="P216" i="5"/>
  <c r="R215" i="5" a="1"/>
  <c r="P215" i="5"/>
  <c r="R214" i="5" a="1"/>
  <c r="P214" i="5"/>
  <c r="R213" i="5" a="1"/>
  <c r="P213" i="5"/>
  <c r="R212" i="5" a="1"/>
  <c r="P212" i="5"/>
  <c r="R211" i="5" a="1"/>
  <c r="P211" i="5"/>
  <c r="P210" i="5"/>
  <c r="R210" i="5" a="1"/>
  <c r="P209" i="5"/>
  <c r="R209" i="5" a="1"/>
  <c r="R208" i="5" a="1"/>
  <c r="P208" i="5"/>
  <c r="R207" i="5" a="1"/>
  <c r="P207" i="5"/>
  <c r="R206" i="5" a="1"/>
  <c r="P206" i="5"/>
  <c r="R205" i="5" a="1"/>
  <c r="P205" i="5"/>
  <c r="R204" i="5" a="1"/>
  <c r="P204" i="5"/>
  <c r="R203" i="5" a="1"/>
  <c r="P203" i="5"/>
  <c r="R202" i="5" a="1"/>
  <c r="P202" i="5"/>
  <c r="R201" i="5" a="1"/>
  <c r="P201" i="5"/>
  <c r="P200" i="5"/>
  <c r="R200" i="5" a="1"/>
  <c r="P199" i="5"/>
  <c r="R199" i="5" a="1"/>
  <c r="R198" i="5" a="1"/>
  <c r="P198" i="5"/>
  <c r="R197" i="5" a="1"/>
  <c r="P197" i="5"/>
  <c r="R196" i="5" a="1"/>
  <c r="P196" i="5"/>
  <c r="R195" i="5" a="1"/>
  <c r="P195" i="5"/>
  <c r="R194" i="5" a="1"/>
  <c r="P194" i="5"/>
  <c r="R193" i="5" a="1"/>
  <c r="P193" i="5"/>
  <c r="R192" i="5" a="1"/>
  <c r="P192" i="5"/>
  <c r="P191" i="5"/>
  <c r="R191" i="5" a="1"/>
  <c r="R190" i="5" a="1"/>
  <c r="P190" i="5"/>
  <c r="R189" i="5" a="1"/>
  <c r="P189" i="5"/>
  <c r="R188" i="5" a="1"/>
  <c r="P188" i="5"/>
  <c r="R187" i="5" a="1"/>
  <c r="P187" i="5"/>
  <c r="R186" i="5" a="1"/>
  <c r="P186" i="5"/>
  <c r="R185" i="5" a="1"/>
  <c r="P185" i="5"/>
  <c r="R184" i="5" a="1"/>
  <c r="P184" i="5"/>
  <c r="R183" i="5" a="1"/>
  <c r="P183" i="5"/>
  <c r="R182" i="5" a="1"/>
  <c r="P182" i="5"/>
  <c r="R181" i="5" a="1"/>
  <c r="P181" i="5"/>
  <c r="R180" i="5" a="1"/>
  <c r="P180" i="5"/>
  <c r="R179" i="5" a="1"/>
  <c r="P179" i="5"/>
  <c r="R178" i="5" a="1"/>
  <c r="P178" i="5"/>
  <c r="R177" i="5" a="1"/>
  <c r="P177" i="5"/>
  <c r="R176" i="5" a="1"/>
  <c r="P176" i="5"/>
  <c r="R175" i="5" a="1"/>
  <c r="P175" i="5"/>
  <c r="R174" i="5" a="1"/>
  <c r="P174" i="5"/>
  <c r="R173" i="5" a="1"/>
  <c r="P173" i="5"/>
  <c r="R172" i="5" a="1"/>
  <c r="P172" i="5"/>
  <c r="R171" i="5" a="1"/>
  <c r="P171" i="5"/>
  <c r="R170" i="5" a="1"/>
  <c r="P170" i="5"/>
  <c r="R169" i="5" a="1"/>
  <c r="P169" i="5"/>
  <c r="R168" i="5" a="1"/>
  <c r="P168" i="5"/>
  <c r="R167" i="5" a="1"/>
  <c r="P167" i="5"/>
  <c r="P166" i="5"/>
  <c r="R166" i="5" a="1"/>
  <c r="R165" i="5" a="1"/>
  <c r="P165" i="5"/>
  <c r="R164" i="5" a="1"/>
  <c r="P164" i="5"/>
  <c r="R163" i="5" a="1"/>
  <c r="P163" i="5"/>
  <c r="P162" i="5"/>
  <c r="R162" i="5" a="1"/>
  <c r="P161" i="5"/>
  <c r="R161" i="5" a="1"/>
  <c r="P160" i="5"/>
  <c r="R160" i="5" a="1"/>
  <c r="R159" i="5" a="1"/>
  <c r="P159" i="5"/>
  <c r="R158" i="5" a="1"/>
  <c r="P158" i="5"/>
  <c r="R157" i="5" a="1"/>
  <c r="P157" i="5"/>
  <c r="R156" i="5" a="1"/>
  <c r="P156" i="5"/>
  <c r="R155" i="5" a="1"/>
  <c r="P155" i="5"/>
  <c r="R154" i="5" a="1"/>
  <c r="P154" i="5"/>
  <c r="R153" i="5" a="1"/>
  <c r="P153" i="5"/>
  <c r="R152" i="5" a="1"/>
  <c r="P152" i="5"/>
  <c r="R151" i="5" a="1"/>
  <c r="P151" i="5"/>
  <c r="R150" i="5" a="1"/>
  <c r="P150" i="5"/>
  <c r="R149" i="5" a="1"/>
  <c r="P149" i="5"/>
  <c r="R148" i="5" a="1"/>
  <c r="P148" i="5"/>
  <c r="R147" i="5" a="1"/>
  <c r="P147" i="5"/>
  <c r="R146" i="5" a="1"/>
  <c r="P146" i="5"/>
  <c r="R145" i="5" a="1"/>
  <c r="P145" i="5"/>
  <c r="P144" i="5"/>
  <c r="R144" i="5" a="1"/>
  <c r="R143" i="5" a="1"/>
  <c r="P143" i="5"/>
  <c r="R142" i="5" a="1"/>
  <c r="P142" i="5"/>
  <c r="R141" i="5" a="1"/>
  <c r="P141" i="5"/>
  <c r="R140" i="5" a="1"/>
  <c r="P140" i="5"/>
  <c r="R139" i="5" a="1"/>
  <c r="P139" i="5"/>
  <c r="R138" i="5" a="1"/>
  <c r="P138" i="5"/>
  <c r="R137" i="5" a="1"/>
  <c r="P137" i="5"/>
  <c r="R136" i="5" a="1"/>
  <c r="P136" i="5"/>
  <c r="P135" i="5"/>
  <c r="R135" i="5" a="1"/>
  <c r="P134" i="5"/>
  <c r="R134" i="5" a="1"/>
  <c r="R133" i="5" a="1"/>
  <c r="P133" i="5"/>
  <c r="P132" i="5"/>
  <c r="R132" i="5" a="1"/>
  <c r="P131" i="5"/>
  <c r="R131" i="5" a="1"/>
  <c r="P130" i="5"/>
  <c r="R130" i="5" a="1"/>
  <c r="R129" i="5" a="1"/>
  <c r="P129" i="5"/>
  <c r="P128" i="5"/>
  <c r="R128" i="5" a="1"/>
  <c r="P127" i="5"/>
  <c r="R127" i="5" a="1"/>
  <c r="P126" i="5"/>
  <c r="R126" i="5" a="1"/>
  <c r="R125" i="5" a="1"/>
  <c r="P125" i="5"/>
  <c r="P124" i="5"/>
  <c r="R124" i="5" a="1"/>
  <c r="R123" i="5" a="1"/>
  <c r="P123" i="5"/>
  <c r="R122" i="5" a="1"/>
  <c r="P122" i="5"/>
  <c r="R121" i="5" a="1"/>
  <c r="P121" i="5"/>
  <c r="R120" i="5" a="1"/>
  <c r="P120" i="5"/>
  <c r="R119" i="5" a="1"/>
  <c r="P119" i="5"/>
  <c r="R118" i="5" a="1"/>
  <c r="P118" i="5"/>
  <c r="R117" i="5" a="1"/>
  <c r="P117" i="5"/>
  <c r="R116" i="5" a="1"/>
  <c r="P116" i="5"/>
  <c r="P115" i="5"/>
  <c r="R115" i="5" a="1"/>
  <c r="R114" i="5" a="1"/>
  <c r="P114" i="5"/>
  <c r="R113" i="5" a="1"/>
  <c r="P113" i="5"/>
  <c r="R112" i="5" a="1"/>
  <c r="P112" i="5"/>
  <c r="R111" i="5" a="1"/>
  <c r="P111" i="5"/>
  <c r="R110" i="5" a="1"/>
  <c r="P110" i="5"/>
  <c r="R109" i="5" a="1"/>
  <c r="P109" i="5"/>
  <c r="R108" i="5" a="1"/>
  <c r="P108" i="5"/>
  <c r="P107" i="5"/>
  <c r="R107" i="5" a="1"/>
  <c r="P106" i="5"/>
  <c r="R106" i="5" a="1"/>
  <c r="P105" i="5"/>
  <c r="R105" i="5" a="1"/>
  <c r="P104" i="5"/>
  <c r="R104" i="5" a="1"/>
  <c r="P103" i="5"/>
  <c r="R103" i="5" a="1"/>
  <c r="P102" i="5"/>
  <c r="R102" i="5" a="1"/>
  <c r="R101" i="5" a="1"/>
  <c r="P101" i="5"/>
  <c r="R100" i="5" a="1"/>
  <c r="P100" i="5"/>
  <c r="R99" i="5" a="1"/>
  <c r="P99" i="5"/>
  <c r="R98" i="5" a="1"/>
  <c r="P98" i="5"/>
  <c r="R97" i="5" a="1"/>
  <c r="P97" i="5"/>
  <c r="R96" i="5" a="1"/>
  <c r="P96" i="5"/>
  <c r="P95" i="5"/>
  <c r="R95" i="5" a="1"/>
  <c r="P94" i="5"/>
  <c r="R94" i="5" a="1"/>
  <c r="P93" i="5"/>
  <c r="R93" i="5" a="1"/>
  <c r="R92" i="5" a="1"/>
  <c r="P92" i="5"/>
  <c r="R91" i="5" a="1"/>
  <c r="P91" i="5"/>
  <c r="R90" i="5" a="1"/>
  <c r="P90" i="5"/>
  <c r="R89" i="5" a="1"/>
  <c r="P89" i="5"/>
  <c r="R88" i="5" a="1"/>
  <c r="P88" i="5"/>
  <c r="P87" i="5"/>
  <c r="R87" i="5" a="1"/>
  <c r="R86" i="5" a="1"/>
  <c r="P86" i="5"/>
  <c r="R85" i="5" a="1"/>
  <c r="P85" i="5"/>
  <c r="R84" i="5" a="1"/>
  <c r="P84" i="5"/>
  <c r="R83" i="5" a="1"/>
  <c r="P83" i="5"/>
  <c r="R82" i="5" a="1"/>
  <c r="P82" i="5"/>
  <c r="R81" i="5" a="1"/>
  <c r="P81" i="5"/>
  <c r="R80" i="5" a="1"/>
  <c r="P80" i="5"/>
  <c r="R79" i="5" a="1"/>
  <c r="P79" i="5"/>
  <c r="R78" i="5" a="1"/>
  <c r="P78" i="5"/>
  <c r="R77" i="5" a="1"/>
  <c r="P77" i="5"/>
  <c r="R76" i="5" a="1"/>
  <c r="P76" i="5"/>
  <c r="R75" i="5" a="1"/>
  <c r="P75" i="5"/>
  <c r="R74" i="5" a="1"/>
  <c r="P74" i="5"/>
  <c r="R73" i="5" a="1"/>
  <c r="P73" i="5"/>
  <c r="P72" i="5"/>
  <c r="R72" i="5" a="1"/>
  <c r="P71" i="5"/>
  <c r="R71" i="5" a="1"/>
  <c r="P70" i="5"/>
  <c r="R70" i="5" a="1"/>
  <c r="P69" i="5"/>
  <c r="R69" i="5" a="1"/>
  <c r="P68" i="5"/>
  <c r="R68" i="5" a="1"/>
  <c r="R67" i="5" a="1"/>
  <c r="P67" i="5"/>
  <c r="R66" i="5" a="1"/>
  <c r="P66" i="5"/>
  <c r="P65" i="5"/>
  <c r="R65" i="5" a="1"/>
  <c r="P64" i="5"/>
  <c r="R64" i="5" a="1"/>
  <c r="R63" i="5" a="1"/>
  <c r="P63" i="5"/>
  <c r="R62" i="5" a="1"/>
  <c r="P62" i="5"/>
  <c r="R61" i="5" a="1"/>
  <c r="P61" i="5"/>
  <c r="P60" i="5"/>
  <c r="R60" i="5" a="1"/>
  <c r="R59" i="5" a="1"/>
  <c r="P59" i="5"/>
  <c r="P58" i="5"/>
  <c r="R58" i="5" a="1"/>
  <c r="P57" i="5"/>
  <c r="R57" i="5" a="1"/>
  <c r="P56" i="5"/>
  <c r="R56" i="5" a="1"/>
  <c r="P55" i="5"/>
  <c r="R55" i="5" a="1"/>
  <c r="P54" i="5"/>
  <c r="R54" i="5" a="1"/>
  <c r="P53" i="5"/>
  <c r="R53" i="5" a="1"/>
  <c r="P52" i="5"/>
  <c r="R52" i="5" a="1"/>
  <c r="P51" i="5"/>
  <c r="R51" i="5" a="1"/>
  <c r="P50" i="5"/>
  <c r="R50" i="5" a="1"/>
  <c r="P49" i="5"/>
  <c r="R49" i="5" a="1"/>
  <c r="P48" i="5"/>
  <c r="R48" i="5" a="1"/>
  <c r="P47" i="5"/>
  <c r="R47" i="5" a="1"/>
  <c r="R46" i="5" a="1"/>
  <c r="P46" i="5"/>
  <c r="R45" i="5" a="1"/>
  <c r="P45" i="5"/>
  <c r="R44" i="5" a="1"/>
  <c r="P44" i="5"/>
  <c r="R43" i="5" a="1"/>
  <c r="P43" i="5"/>
  <c r="P42" i="5"/>
  <c r="R42" i="5" a="1"/>
  <c r="P41" i="5"/>
  <c r="R41" i="5" a="1"/>
  <c r="R40" i="5" a="1"/>
  <c r="P40" i="5"/>
  <c r="R39" i="5" a="1"/>
  <c r="P39" i="5"/>
  <c r="R38" i="5" a="1"/>
  <c r="P38" i="5"/>
  <c r="R37" i="5" a="1"/>
  <c r="P37" i="5"/>
  <c r="R36" i="5" a="1"/>
  <c r="P36" i="5"/>
  <c r="R35" i="5" a="1"/>
  <c r="P35" i="5"/>
  <c r="R34" i="5" a="1"/>
  <c r="P34" i="5"/>
  <c r="P33" i="5"/>
  <c r="R33" i="5" a="1"/>
  <c r="R32" i="5" a="1"/>
  <c r="P32" i="5"/>
  <c r="P31" i="5"/>
  <c r="R31" i="5" a="1"/>
  <c r="P30" i="5"/>
  <c r="R30" i="5" a="1"/>
  <c r="P29" i="5"/>
  <c r="R29" i="5" a="1"/>
  <c r="P28" i="5"/>
  <c r="R28" i="5" a="1"/>
  <c r="R27" i="5" a="1"/>
  <c r="P27" i="5"/>
  <c r="R26" i="5" a="1"/>
  <c r="P26" i="5"/>
  <c r="R25" i="5" a="1"/>
  <c r="P25" i="5"/>
  <c r="R24" i="5" a="1"/>
  <c r="P24" i="5"/>
  <c r="P23" i="5"/>
  <c r="R23" i="5" a="1"/>
  <c r="R22" i="5" a="1"/>
  <c r="P22" i="5"/>
  <c r="P21" i="5"/>
  <c r="R21" i="5" a="1"/>
  <c r="R20" i="5" a="1"/>
  <c r="P20" i="5"/>
  <c r="R19" i="5" a="1"/>
  <c r="P19" i="5"/>
  <c r="R18" i="5" a="1"/>
  <c r="P18" i="5"/>
  <c r="P17" i="5"/>
  <c r="R17" i="5" a="1"/>
  <c r="R16" i="5" a="1"/>
  <c r="P16" i="5"/>
  <c r="R15" i="5" a="1"/>
  <c r="P15" i="5"/>
  <c r="R14" i="5" a="1"/>
  <c r="P14" i="5"/>
  <c r="P13" i="5"/>
  <c r="R13" i="5" a="1"/>
  <c r="R12" i="5" a="1"/>
  <c r="P12" i="5"/>
  <c r="R11" i="5" a="1"/>
  <c r="P11" i="5"/>
  <c r="R10" i="5" a="1"/>
  <c r="P10" i="5"/>
  <c r="P9" i="5"/>
  <c r="R9" i="5" a="1"/>
  <c r="P8" i="5"/>
  <c r="R8" i="5" a="1"/>
  <c r="P7" i="5"/>
  <c r="R7" i="5" a="1"/>
  <c r="P6" i="5"/>
  <c r="R6" i="5" a="1"/>
  <c r="P326" i="5" l="1"/>
  <c r="N1"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<sst xmlns="http://schemas.openxmlformats.org/spreadsheetml/2006/main" count="3697" uniqueCount="488">
  <si>
    <t>PT AURA NUSANTARA COSMETICS</t>
  </si>
  <si>
    <t>Master Data Inbound Batch Stock &amp; FEFO Expiry Alert (~320 Batch)</t>
  </si>
  <si>
    <t>Batch_ID</t>
  </si>
  <si>
    <t>B2026-1001</t>
  </si>
  <si>
    <t>SK-RET-07</t>
  </si>
  <si>
    <t>Retinol Night Cream 30g</t>
  </si>
  <si>
    <t>Moisturizer</t>
  </si>
  <si>
    <t>B2026-1002</t>
  </si>
  <si>
    <t>CL-C20-03</t>
  </si>
  <si>
    <t>Vitamin C Cleanser 100ml</t>
  </si>
  <si>
    <t>Cleanser</t>
  </si>
  <si>
    <t>B2026-1003</t>
  </si>
  <si>
    <t>MK-LIP-06</t>
  </si>
  <si>
    <t>Velvet Lip Tint 4g</t>
  </si>
  <si>
    <t>Makeup</t>
  </si>
  <si>
    <t>B2026-1004</t>
  </si>
  <si>
    <t>MO-HYA-05</t>
  </si>
  <si>
    <t>Hyaluronic Acid Moisturizer 50g</t>
  </si>
  <si>
    <t>B2026-1005</t>
  </si>
  <si>
    <t>SK-NNC-01</t>
  </si>
  <si>
    <t>Niacinamide Serum 30ml</t>
  </si>
  <si>
    <t>Serum</t>
  </si>
  <si>
    <t>B2026-1006</t>
  </si>
  <si>
    <t>B2026-1007</t>
  </si>
  <si>
    <t>B2026-1008</t>
  </si>
  <si>
    <t>SK-SUN-02</t>
  </si>
  <si>
    <t>Sunscreen SPF 50 PA+++</t>
  </si>
  <si>
    <t>Sunscreen</t>
  </si>
  <si>
    <t>B2026-1009</t>
  </si>
  <si>
    <t>CL-MCL-08</t>
  </si>
  <si>
    <t>Micellar Water Cleanse 250ml</t>
  </si>
  <si>
    <t>B2026-1010</t>
  </si>
  <si>
    <t>B2026-1011</t>
  </si>
  <si>
    <t>TN-CEN-10</t>
  </si>
  <si>
    <t>Centella Asiatica Soothing Essence</t>
  </si>
  <si>
    <t>Toner</t>
  </si>
  <si>
    <t>B2026-1012</t>
  </si>
  <si>
    <t>B2026-1013</t>
  </si>
  <si>
    <t>B2026-1014</t>
  </si>
  <si>
    <t>B2026-1015</t>
  </si>
  <si>
    <t>B2026-1016</t>
  </si>
  <si>
    <t>B2026-1017</t>
  </si>
  <si>
    <t>B2026-1018</t>
  </si>
  <si>
    <t>B2026-1019</t>
  </si>
  <si>
    <t>B2026-1020</t>
  </si>
  <si>
    <t>MK-CUS-09</t>
  </si>
  <si>
    <t>Coverage Cushion Foundation</t>
  </si>
  <si>
    <t>B2026-1021</t>
  </si>
  <si>
    <t>B2026-1022</t>
  </si>
  <si>
    <t>B2026-1023</t>
  </si>
  <si>
    <t>B2026-1024</t>
  </si>
  <si>
    <t>B2026-1025</t>
  </si>
  <si>
    <t>B2026-1026</t>
  </si>
  <si>
    <t>TN-AHA-04</t>
  </si>
  <si>
    <t>AHA/BHA Exfoliating Toner 150ml</t>
  </si>
  <si>
    <t>B2026-1027</t>
  </si>
  <si>
    <t>B2026-1028</t>
  </si>
  <si>
    <t>B2026-1029</t>
  </si>
  <si>
    <t>B2026-1030</t>
  </si>
  <si>
    <t>B2026-1031</t>
  </si>
  <si>
    <t>B2026-1032</t>
  </si>
  <si>
    <t>B2026-1033</t>
  </si>
  <si>
    <t>B2026-1034</t>
  </si>
  <si>
    <t>B2026-1035</t>
  </si>
  <si>
    <t>B2026-1036</t>
  </si>
  <si>
    <t>B2026-1037</t>
  </si>
  <si>
    <t>B2026-1038</t>
  </si>
  <si>
    <t>B2026-1039</t>
  </si>
  <si>
    <t>B2026-1040</t>
  </si>
  <si>
    <t>B2026-1041</t>
  </si>
  <si>
    <t>B2026-1042</t>
  </si>
  <si>
    <t>B2026-1043</t>
  </si>
  <si>
    <t>B2026-1044</t>
  </si>
  <si>
    <t>B2026-1045</t>
  </si>
  <si>
    <t>B2026-1046</t>
  </si>
  <si>
    <t>B2026-1047</t>
  </si>
  <si>
    <t>B2026-1048</t>
  </si>
  <si>
    <t>B2026-1049</t>
  </si>
  <si>
    <t>B2026-1050</t>
  </si>
  <si>
    <t>B2026-1051</t>
  </si>
  <si>
    <t>B2026-1052</t>
  </si>
  <si>
    <t>B2026-1053</t>
  </si>
  <si>
    <t>B2026-1054</t>
  </si>
  <si>
    <t>B2026-1055</t>
  </si>
  <si>
    <t>B2026-1056</t>
  </si>
  <si>
    <t>B2026-1057</t>
  </si>
  <si>
    <t>B2026-1058</t>
  </si>
  <si>
    <t>B2026-1059</t>
  </si>
  <si>
    <t>B2026-1060</t>
  </si>
  <si>
    <t>B2026-1061</t>
  </si>
  <si>
    <t>B2026-1062</t>
  </si>
  <si>
    <t>B2026-1063</t>
  </si>
  <si>
    <t>B2026-1064</t>
  </si>
  <si>
    <t>B2026-1065</t>
  </si>
  <si>
    <t>B2026-1066</t>
  </si>
  <si>
    <t>B2026-1067</t>
  </si>
  <si>
    <t>B2026-1068</t>
  </si>
  <si>
    <t>B2026-1069</t>
  </si>
  <si>
    <t>B2026-1070</t>
  </si>
  <si>
    <t>B2026-1071</t>
  </si>
  <si>
    <t>B2026-1072</t>
  </si>
  <si>
    <t>B2026-1073</t>
  </si>
  <si>
    <t>B2026-1074</t>
  </si>
  <si>
    <t>B2026-1075</t>
  </si>
  <si>
    <t>B2026-1076</t>
  </si>
  <si>
    <t>B2026-1077</t>
  </si>
  <si>
    <t>B2026-1078</t>
  </si>
  <si>
    <t>B2026-1079</t>
  </si>
  <si>
    <t>B2026-1080</t>
  </si>
  <si>
    <t>B2026-1081</t>
  </si>
  <si>
    <t>B2026-1082</t>
  </si>
  <si>
    <t>B2026-1083</t>
  </si>
  <si>
    <t>B2026-1084</t>
  </si>
  <si>
    <t>B2026-1085</t>
  </si>
  <si>
    <t>B2026-1086</t>
  </si>
  <si>
    <t>B2026-1087</t>
  </si>
  <si>
    <t>B2026-1088</t>
  </si>
  <si>
    <t>B2026-1089</t>
  </si>
  <si>
    <t>B2026-1090</t>
  </si>
  <si>
    <t>B2026-1091</t>
  </si>
  <si>
    <t>B2026-1092</t>
  </si>
  <si>
    <t>B2026-1093</t>
  </si>
  <si>
    <t>B2026-1094</t>
  </si>
  <si>
    <t>B2026-1095</t>
  </si>
  <si>
    <t>B2026-1096</t>
  </si>
  <si>
    <t>B2026-1097</t>
  </si>
  <si>
    <t>B2026-1098</t>
  </si>
  <si>
    <t>B2026-1099</t>
  </si>
  <si>
    <t>B2026-1100</t>
  </si>
  <si>
    <t>B2026-1101</t>
  </si>
  <si>
    <t>B2026-1102</t>
  </si>
  <si>
    <t>B2026-1103</t>
  </si>
  <si>
    <t>B2026-1104</t>
  </si>
  <si>
    <t>B2026-1105</t>
  </si>
  <si>
    <t>B2026-1106</t>
  </si>
  <si>
    <t>B2026-1107</t>
  </si>
  <si>
    <t>B2026-1108</t>
  </si>
  <si>
    <t>B2026-1109</t>
  </si>
  <si>
    <t>B2026-1110</t>
  </si>
  <si>
    <t>B2026-1111</t>
  </si>
  <si>
    <t>B2026-1112</t>
  </si>
  <si>
    <t>B2026-1113</t>
  </si>
  <si>
    <t>B2026-1114</t>
  </si>
  <si>
    <t>B2026-1115</t>
  </si>
  <si>
    <t>B2026-1116</t>
  </si>
  <si>
    <t>B2026-1117</t>
  </si>
  <si>
    <t>B2026-1118</t>
  </si>
  <si>
    <t>B2026-1119</t>
  </si>
  <si>
    <t>B2026-1120</t>
  </si>
  <si>
    <t>B2026-1121</t>
  </si>
  <si>
    <t>B2026-1122</t>
  </si>
  <si>
    <t>B2026-1123</t>
  </si>
  <si>
    <t>B2026-1124</t>
  </si>
  <si>
    <t>B2026-1125</t>
  </si>
  <si>
    <t>B2026-1126</t>
  </si>
  <si>
    <t>B2026-1127</t>
  </si>
  <si>
    <t>B2026-1128</t>
  </si>
  <si>
    <t>B2026-1129</t>
  </si>
  <si>
    <t>B2026-1130</t>
  </si>
  <si>
    <t>B2026-1131</t>
  </si>
  <si>
    <t>B2026-1132</t>
  </si>
  <si>
    <t>B2026-1133</t>
  </si>
  <si>
    <t>B2026-1134</t>
  </si>
  <si>
    <t>B2026-1135</t>
  </si>
  <si>
    <t>B2026-1136</t>
  </si>
  <si>
    <t>B2026-1137</t>
  </si>
  <si>
    <t>B2026-1138</t>
  </si>
  <si>
    <t>B2026-1139</t>
  </si>
  <si>
    <t>B2026-1140</t>
  </si>
  <si>
    <t>B2026-1141</t>
  </si>
  <si>
    <t>B2026-1142</t>
  </si>
  <si>
    <t>B2026-1143</t>
  </si>
  <si>
    <t>B2026-1144</t>
  </si>
  <si>
    <t>B2026-1145</t>
  </si>
  <si>
    <t>B2026-1146</t>
  </si>
  <si>
    <t>B2026-1147</t>
  </si>
  <si>
    <t>B2026-1148</t>
  </si>
  <si>
    <t>B2026-1149</t>
  </si>
  <si>
    <t>B2026-1150</t>
  </si>
  <si>
    <t>B2026-1151</t>
  </si>
  <si>
    <t>B2026-1152</t>
  </si>
  <si>
    <t>B2026-1153</t>
  </si>
  <si>
    <t>B2026-1154</t>
  </si>
  <si>
    <t>B2026-1155</t>
  </si>
  <si>
    <t>B2026-1156</t>
  </si>
  <si>
    <t>B2026-1157</t>
  </si>
  <si>
    <t>B2026-1158</t>
  </si>
  <si>
    <t>B2026-1159</t>
  </si>
  <si>
    <t>B2026-1160</t>
  </si>
  <si>
    <t>B2026-1161</t>
  </si>
  <si>
    <t>B2026-1162</t>
  </si>
  <si>
    <t>B2026-1163</t>
  </si>
  <si>
    <t>B2026-1164</t>
  </si>
  <si>
    <t>B2026-1165</t>
  </si>
  <si>
    <t>B2026-1166</t>
  </si>
  <si>
    <t>B2026-1167</t>
  </si>
  <si>
    <t>B2026-1168</t>
  </si>
  <si>
    <t>B2026-1169</t>
  </si>
  <si>
    <t>B2026-1170</t>
  </si>
  <si>
    <t>B2026-1171</t>
  </si>
  <si>
    <t>B2026-1172</t>
  </si>
  <si>
    <t>B2026-1173</t>
  </si>
  <si>
    <t>B2026-1174</t>
  </si>
  <si>
    <t>B2026-1175</t>
  </si>
  <si>
    <t>B2026-1176</t>
  </si>
  <si>
    <t>B2026-1177</t>
  </si>
  <si>
    <t>B2026-1178</t>
  </si>
  <si>
    <t>B2026-1179</t>
  </si>
  <si>
    <t>B2026-1180</t>
  </si>
  <si>
    <t>B2026-1181</t>
  </si>
  <si>
    <t>B2026-1182</t>
  </si>
  <si>
    <t>B2026-1183</t>
  </si>
  <si>
    <t>B2026-1184</t>
  </si>
  <si>
    <t>B2026-1185</t>
  </si>
  <si>
    <t>B2026-1186</t>
  </si>
  <si>
    <t>B2026-1187</t>
  </si>
  <si>
    <t>B2026-1188</t>
  </si>
  <si>
    <t>B2026-1189</t>
  </si>
  <si>
    <t>B2026-1190</t>
  </si>
  <si>
    <t>B2026-1191</t>
  </si>
  <si>
    <t>B2026-1192</t>
  </si>
  <si>
    <t>B2026-1193</t>
  </si>
  <si>
    <t>B2026-1194</t>
  </si>
  <si>
    <t>B2026-1195</t>
  </si>
  <si>
    <t>B2026-1196</t>
  </si>
  <si>
    <t>B2026-1197</t>
  </si>
  <si>
    <t>B2026-1198</t>
  </si>
  <si>
    <t>B2026-1199</t>
  </si>
  <si>
    <t>B2026-1200</t>
  </si>
  <si>
    <t>B2026-1201</t>
  </si>
  <si>
    <t>B2026-1202</t>
  </si>
  <si>
    <t>B2026-1203</t>
  </si>
  <si>
    <t>B2026-1204</t>
  </si>
  <si>
    <t>B2026-1205</t>
  </si>
  <si>
    <t>B2026-1206</t>
  </si>
  <si>
    <t>B2026-1207</t>
  </si>
  <si>
    <t>B2026-1208</t>
  </si>
  <si>
    <t>B2026-1209</t>
  </si>
  <si>
    <t>B2026-1210</t>
  </si>
  <si>
    <t>B2026-1211</t>
  </si>
  <si>
    <t>B2026-1212</t>
  </si>
  <si>
    <t>B2026-1213</t>
  </si>
  <si>
    <t>B2026-1214</t>
  </si>
  <si>
    <t>B2026-1215</t>
  </si>
  <si>
    <t>B2026-1216</t>
  </si>
  <si>
    <t>B2026-1217</t>
  </si>
  <si>
    <t>B2026-1218</t>
  </si>
  <si>
    <t>B2026-1219</t>
  </si>
  <si>
    <t>B2026-1220</t>
  </si>
  <si>
    <t>B2026-1221</t>
  </si>
  <si>
    <t>B2026-1222</t>
  </si>
  <si>
    <t>B2026-1223</t>
  </si>
  <si>
    <t>B2026-1224</t>
  </si>
  <si>
    <t>B2026-1225</t>
  </si>
  <si>
    <t>B2026-1226</t>
  </si>
  <si>
    <t>B2026-1227</t>
  </si>
  <si>
    <t>B2026-1228</t>
  </si>
  <si>
    <t>B2026-1229</t>
  </si>
  <si>
    <t>B2026-1230</t>
  </si>
  <si>
    <t>B2026-1231</t>
  </si>
  <si>
    <t>B2026-1232</t>
  </si>
  <si>
    <t>B2026-1233</t>
  </si>
  <si>
    <t>B2026-1234</t>
  </si>
  <si>
    <t>B2026-1235</t>
  </si>
  <si>
    <t>B2026-1236</t>
  </si>
  <si>
    <t>B2026-1237</t>
  </si>
  <si>
    <t>B2026-1238</t>
  </si>
  <si>
    <t>B2026-1239</t>
  </si>
  <si>
    <t>B2026-1240</t>
  </si>
  <si>
    <t>B2026-1241</t>
  </si>
  <si>
    <t>B2026-1242</t>
  </si>
  <si>
    <t>B2026-1243</t>
  </si>
  <si>
    <t>B2026-1244</t>
  </si>
  <si>
    <t>B2026-1245</t>
  </si>
  <si>
    <t>B2026-1246</t>
  </si>
  <si>
    <t>B2026-1247</t>
  </si>
  <si>
    <t>B2026-1248</t>
  </si>
  <si>
    <t>B2026-1249</t>
  </si>
  <si>
    <t>B2026-1250</t>
  </si>
  <si>
    <t>B2026-1251</t>
  </si>
  <si>
    <t>B2026-1252</t>
  </si>
  <si>
    <t>B2026-1253</t>
  </si>
  <si>
    <t>B2026-1254</t>
  </si>
  <si>
    <t>B2026-1255</t>
  </si>
  <si>
    <t>B2026-1256</t>
  </si>
  <si>
    <t>B2026-1257</t>
  </si>
  <si>
    <t>B2026-1258</t>
  </si>
  <si>
    <t>B2026-1259</t>
  </si>
  <si>
    <t>B2026-1260</t>
  </si>
  <si>
    <t>B2026-1261</t>
  </si>
  <si>
    <t>B2026-1262</t>
  </si>
  <si>
    <t>B2026-1263</t>
  </si>
  <si>
    <t>B2026-1264</t>
  </si>
  <si>
    <t>B2026-1265</t>
  </si>
  <si>
    <t>B2026-1266</t>
  </si>
  <si>
    <t>B2026-1267</t>
  </si>
  <si>
    <t>B2026-1268</t>
  </si>
  <si>
    <t>B2026-1269</t>
  </si>
  <si>
    <t>B2026-1270</t>
  </si>
  <si>
    <t>B2026-1271</t>
  </si>
  <si>
    <t>B2026-1272</t>
  </si>
  <si>
    <t>B2026-1273</t>
  </si>
  <si>
    <t>B2026-1274</t>
  </si>
  <si>
    <t>B2026-1275</t>
  </si>
  <si>
    <t>B2026-1276</t>
  </si>
  <si>
    <t>B2026-1277</t>
  </si>
  <si>
    <t>B2026-1278</t>
  </si>
  <si>
    <t>B2026-1279</t>
  </si>
  <si>
    <t>B2026-1280</t>
  </si>
  <si>
    <t>B2026-1281</t>
  </si>
  <si>
    <t>B2026-1282</t>
  </si>
  <si>
    <t>B2026-1283</t>
  </si>
  <si>
    <t>B2026-1284</t>
  </si>
  <si>
    <t>B2026-1285</t>
  </si>
  <si>
    <t>B2026-1286</t>
  </si>
  <si>
    <t>B2026-1287</t>
  </si>
  <si>
    <t>B2026-1288</t>
  </si>
  <si>
    <t>B2026-1289</t>
  </si>
  <si>
    <t>B2026-1290</t>
  </si>
  <si>
    <t>B2026-1291</t>
  </si>
  <si>
    <t>B2026-1292</t>
  </si>
  <si>
    <t>B2026-1293</t>
  </si>
  <si>
    <t>B2026-1294</t>
  </si>
  <si>
    <t>B2026-1295</t>
  </si>
  <si>
    <t>B2026-1296</t>
  </si>
  <si>
    <t>B2026-1297</t>
  </si>
  <si>
    <t>B2026-1298</t>
  </si>
  <si>
    <t>B2026-1299</t>
  </si>
  <si>
    <t>B2026-1300</t>
  </si>
  <si>
    <t>B2026-1301</t>
  </si>
  <si>
    <t>B2026-1302</t>
  </si>
  <si>
    <t>B2026-1303</t>
  </si>
  <si>
    <t>B2026-1304</t>
  </si>
  <si>
    <t>B2026-1305</t>
  </si>
  <si>
    <t>B2026-1306</t>
  </si>
  <si>
    <t>B2026-1307</t>
  </si>
  <si>
    <t>B2026-1308</t>
  </si>
  <si>
    <t>B2026-1309</t>
  </si>
  <si>
    <t>B2026-1310</t>
  </si>
  <si>
    <t>B2026-1311</t>
  </si>
  <si>
    <t>B2026-1312</t>
  </si>
  <si>
    <t>B2026-1313</t>
  </si>
  <si>
    <t>B2026-1314</t>
  </si>
  <si>
    <t>B2026-1315</t>
  </si>
  <si>
    <t>B2026-1316</t>
  </si>
  <si>
    <t>B2026-1317</t>
  </si>
  <si>
    <t>B2026-1318</t>
  </si>
  <si>
    <t>B2026-1319</t>
  </si>
  <si>
    <t>B2026-1320</t>
  </si>
  <si>
    <t>Total</t>
  </si>
  <si>
    <t>ORD-5080</t>
  </si>
  <si>
    <t>ORD-5079</t>
  </si>
  <si>
    <t>ORD-5078</t>
  </si>
  <si>
    <t>ORD-5077</t>
  </si>
  <si>
    <t>ORD-5076</t>
  </si>
  <si>
    <t>ORD-5075</t>
  </si>
  <si>
    <t>ORD-5074</t>
  </si>
  <si>
    <t>ORD-5073</t>
  </si>
  <si>
    <t>ORD-5072</t>
  </si>
  <si>
    <t>ORD-5071</t>
  </si>
  <si>
    <t>ORD-5070</t>
  </si>
  <si>
    <t>ORD-5069</t>
  </si>
  <si>
    <t>ORD-5068</t>
  </si>
  <si>
    <t>ORD-5067</t>
  </si>
  <si>
    <t>ORD-5066</t>
  </si>
  <si>
    <t>ORD-5065</t>
  </si>
  <si>
    <t>ORD-5064</t>
  </si>
  <si>
    <t>ORD-5063</t>
  </si>
  <si>
    <t>ORD-5062</t>
  </si>
  <si>
    <t>ORD-5061</t>
  </si>
  <si>
    <t>ORD-5060</t>
  </si>
  <si>
    <t>ORD-5059</t>
  </si>
  <si>
    <t>ORD-5058</t>
  </si>
  <si>
    <t>ORD-5057</t>
  </si>
  <si>
    <t>ORD-5056</t>
  </si>
  <si>
    <t>ORD-5055</t>
  </si>
  <si>
    <t>ORD-5054</t>
  </si>
  <si>
    <t>ORD-5053</t>
  </si>
  <si>
    <t>ORD-5052</t>
  </si>
  <si>
    <t>ORD-5051</t>
  </si>
  <si>
    <t>ORD-5050</t>
  </si>
  <si>
    <t>ORD-5049</t>
  </si>
  <si>
    <t>ORD-5048</t>
  </si>
  <si>
    <t>ORD-5047</t>
  </si>
  <si>
    <t>ORD-5046</t>
  </si>
  <si>
    <t>ORD-5045</t>
  </si>
  <si>
    <t>ORD-5044</t>
  </si>
  <si>
    <t>ORD-5043</t>
  </si>
  <si>
    <t>ORD-5042</t>
  </si>
  <si>
    <t>ORD-5041</t>
  </si>
  <si>
    <t>ORD-5040</t>
  </si>
  <si>
    <t>ORD-5039</t>
  </si>
  <si>
    <t>ORD-5038</t>
  </si>
  <si>
    <t>ORD-5037</t>
  </si>
  <si>
    <t>ORD-5036</t>
  </si>
  <si>
    <t>ORD-5035</t>
  </si>
  <si>
    <t>ORD-5034</t>
  </si>
  <si>
    <t>ORD-5033</t>
  </si>
  <si>
    <t>ORD-5032</t>
  </si>
  <si>
    <t>ORD-5031</t>
  </si>
  <si>
    <t>ORD-5030</t>
  </si>
  <si>
    <t>ORD-5029</t>
  </si>
  <si>
    <t>ORD-5028</t>
  </si>
  <si>
    <t>ORD-5027</t>
  </si>
  <si>
    <t>ORD-5026</t>
  </si>
  <si>
    <t>ORD-5025</t>
  </si>
  <si>
    <t>ORD-5024</t>
  </si>
  <si>
    <t>ORD-5023</t>
  </si>
  <si>
    <t>ORD-5022</t>
  </si>
  <si>
    <t>ORD-5021</t>
  </si>
  <si>
    <t>ORD-5020</t>
  </si>
  <si>
    <t>ORD-5019</t>
  </si>
  <si>
    <t>ORD-5018</t>
  </si>
  <si>
    <t>ORD-5017</t>
  </si>
  <si>
    <t>ORD-5016</t>
  </si>
  <si>
    <t>ORD-5015</t>
  </si>
  <si>
    <t>ORD-5014</t>
  </si>
  <si>
    <t>ORD-5013</t>
  </si>
  <si>
    <t>ORD-5012</t>
  </si>
  <si>
    <t>ORD-5011</t>
  </si>
  <si>
    <t>ORD-5010</t>
  </si>
  <si>
    <t>ORD-5009</t>
  </si>
  <si>
    <t>ORD-5008</t>
  </si>
  <si>
    <t>ORD-5007</t>
  </si>
  <si>
    <t>ORD-5006</t>
  </si>
  <si>
    <t>ORD-5005</t>
  </si>
  <si>
    <t>ORD-5004</t>
  </si>
  <si>
    <t>ORD-5003</t>
  </si>
  <si>
    <t>ORD-5002</t>
  </si>
  <si>
    <t>ORD-5001</t>
  </si>
  <si>
    <t>Tgl_Kirim</t>
  </si>
  <si>
    <t>Order_ID</t>
  </si>
  <si>
    <t>Total HPP Outbound</t>
  </si>
  <si>
    <t>Hasil Alokasi FEFO &amp; Valuasi HPP FIFO (Realized Demand)</t>
  </si>
  <si>
    <t>Product_Name</t>
  </si>
  <si>
    <t>Category</t>
  </si>
  <si>
    <t>Value_Total</t>
  </si>
  <si>
    <t>SKU_Code</t>
  </si>
  <si>
    <t>Inbound_Date</t>
  </si>
  <si>
    <t>Expiry_Date</t>
  </si>
  <si>
    <t>Alert_Status</t>
  </si>
  <si>
    <t>Days_To_Expiry</t>
  </si>
  <si>
    <t>Qty_Inbound</t>
  </si>
  <si>
    <t>Unit_Cost</t>
  </si>
  <si>
    <t>Qty_Outbound</t>
  </si>
  <si>
    <t>Qty_Remaining</t>
  </si>
  <si>
    <t>Risk_Valuation</t>
  </si>
  <si>
    <t>Action_Recommendation</t>
  </si>
  <si>
    <t>Total_COGS_Outbound</t>
  </si>
  <si>
    <t>Total_Inbound_Value</t>
  </si>
  <si>
    <t>Ending_Inventory_Value</t>
  </si>
  <si>
    <t>Grand Total</t>
  </si>
  <si>
    <t>CRITICAL</t>
  </si>
  <si>
    <t>EXPIRED</t>
  </si>
  <si>
    <t>SAFE</t>
  </si>
  <si>
    <t>WARNING</t>
  </si>
  <si>
    <t>FEFO PRIORITY</t>
  </si>
  <si>
    <t xml:space="preserve">FlASH SALE </t>
  </si>
  <si>
    <t>REGULAR SALES</t>
  </si>
  <si>
    <t>WRITE-OFF</t>
  </si>
  <si>
    <t>(Multiple Items)</t>
  </si>
  <si>
    <t xml:space="preserve"> Sales Order Outbound Demand</t>
  </si>
  <si>
    <t>Quantity Outbound</t>
  </si>
  <si>
    <t>Quantity Inbound</t>
  </si>
  <si>
    <t>Quantity Remaining</t>
  </si>
  <si>
    <t>Ending Inventory Value</t>
  </si>
  <si>
    <t>Qty Remaining</t>
  </si>
  <si>
    <t>Risk Valuation</t>
  </si>
  <si>
    <t>Stock Inbound, Outbound &amp; Balance Summary</t>
  </si>
  <si>
    <t>FEFO, Flash Sale &amp; Write-Off Distribution Matrix</t>
  </si>
  <si>
    <t>Inventory Quantity Distribution by Risk Status</t>
  </si>
  <si>
    <t>Top 5 Products by Ending Inventory Value</t>
  </si>
  <si>
    <t>Top 5 Products by Financial Risk Exposure</t>
  </si>
  <si>
    <t>Expiry_Alert_30Days</t>
  </si>
  <si>
    <t>EXPIRING SOON (&lt;30 DAYS)</t>
  </si>
  <si>
    <t>Days To Expiry</t>
  </si>
  <si>
    <t>CREATED BY NUR LAILA KAMALIYAH</t>
  </si>
  <si>
    <t>PT AURA NUSANTARA 
COSMETICS</t>
  </si>
  <si>
    <t>FEFO &amp; Inventory Risk 
Management Dashboard</t>
  </si>
  <si>
    <t>TOTAL INVENTORY 
VALUE</t>
  </si>
  <si>
    <t xml:space="preserve">TOTAL RISK VALUATION
</t>
  </si>
  <si>
    <t>TOTAL STOCK
REMAINING</t>
  </si>
  <si>
    <t>CRITICAL &amp; EXPIRED
BATCHES (%)</t>
  </si>
  <si>
    <t>FEFO COMPLIANCE
RATE</t>
  </si>
  <si>
    <t>FEFO Check</t>
  </si>
  <si>
    <t>AVERAGE DAYS TO
EXPIRY</t>
  </si>
  <si>
    <t>Shipment_Date</t>
  </si>
  <si>
    <t>Dataset used: Dummy/Simulated Inventory &amp; Shipment Data (for portfolio illustration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</si>
</sst>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R\p#,##0"/>
    <numFmt numFmtId="165" formatCode="[$Rp-421]#,##0"/>
    <numFmt numFmtId="166" formatCode="&quot;Rp&quot;#,##0;\(&quot;Rp&quot;#,##0\);\-"/>
    <numFmt numFmtId="167" formatCode="0&quot; days left&quot;;\-0&quot; days ago&quot;;&quot;0 days left&quot;"/>
    <numFmt numFmtId="168" formatCode="0.0%"/>
    <numFmt numFmtId="169" formatCode="0.00\ &quot;%&quot;"/>
    <numFmt numFmtId="170" formatCode="0\ &quot;Days Left&quot;"/>
  </numFmts>
  <fonts count="24" x14ac:knownFonts="1">
    <font>
      <sz val="11"/>
      <color theme="1"/>
      <name val="Calibri"/>
      <family val="2"/>
      <scheme val="minor"/>
    </font>
    <font>
      <b/>
      <sz val="16"/>
      <color rgb="FF1F4E79"/>
      <name val="Calibri"/>
      <family val="2"/>
    </font>
    <font>
      <i/>
      <sz val="11"/>
      <color rgb="FF595959"/>
      <name val="Calibri"/>
      <family val="2"/>
    </font>
    <font>
      <b/>
      <sz val="11"/>
      <color rgb="FFFFFFFF"/>
      <name val="Calibri"/>
      <family val="2"/>
    </font>
    <font>
      <sz val="11"/>
      <name val="Calibri"/>
      <family val="2"/>
    </font>
    <font>
      <b/>
      <sz val="11"/>
      <name val="Calibri"/>
      <family val="2"/>
    </font>
    <font>
      <i/>
      <sz val="11"/>
      <color rgb="FF595959"/>
      <name val="Calibri"/>
      <family val="2"/>
    </font>
    <font>
      <b/>
      <sz val="11"/>
      <color rgb="FFFFFFFF"/>
      <name val="Calibri"/>
      <family val="2"/>
    </font>
    <font>
      <sz val="11"/>
      <color theme="0"/>
      <name val="Calibri"/>
      <family val="2"/>
      <scheme val="minor"/>
    </font>
    <font>
      <b/>
      <sz val="11"/>
      <color theme="0"/>
      <name val="Calibri"/>
      <family val="2"/>
    </font>
    <font>
      <b/>
      <sz val="11"/>
      <color theme="0"/>
      <name val="Calibri"/>
      <family val="2"/>
      <scheme val="minor"/>
    </font>
    <font>
      <b/>
      <sz val="11"/>
      <color rgb="FF26425A"/>
      <name val="Calibri"/>
      <family val="2"/>
      <scheme val="minor"/>
    </font>
    <font>
      <b/>
      <sz val="20"/>
      <color rgb="FF26425A"/>
      <name val="Calibri"/>
      <family val="2"/>
      <scheme val="minor"/>
    </font>
    <font>
      <b/>
      <sz val="26"/>
      <color rgb="FF26425A"/>
      <name val="Calibri"/>
      <family val="2"/>
    </font>
    <font>
      <sz val="11"/>
      <color theme="1"/>
      <name val="Aptos Light"/>
      <family val="2"/>
    </font>
    <font>
      <b/>
      <sz val="18"/>
      <color rgb="FF26425A"/>
      <name val="Calibri"/>
      <family val="2"/>
      <scheme val="minor"/>
    </font>
    <font>
      <sz val="11"/>
      <color theme="1"/>
      <name val="Calibri"/>
      <family val="2"/>
      <scheme val="minor"/>
    </font>
    <font>
      <b/>
      <sz val="28"/>
      <color theme="0"/>
      <name val="Calibri"/>
      <family val="2"/>
      <scheme val="minor"/>
    </font>
    <font>
      <b/>
      <sz val="36"/>
      <color theme="0"/>
      <name val="Calibri"/>
      <family val="2"/>
      <scheme val="minor"/>
    </font>
    <font>
      <b/>
      <i/>
      <sz val="18"/>
      <color theme="0"/>
      <name val="Calibri"/>
      <family val="2"/>
      <scheme val="minor"/>
    </font>
    <font>
      <b/>
      <sz val="30"/>
      <color theme="0"/>
      <name val="Calibri"/>
      <family val="2"/>
      <scheme val="minor"/>
    </font>
    <font>
      <b/>
      <sz val="22"/>
      <color theme="0"/>
      <name val="Aptos Narrow"/>
      <family val="2"/>
    </font>
    <font>
      <b/>
      <sz val="36"/>
      <color theme="1"/>
      <name val="Calibri"/>
      <family val="2"/>
      <scheme val="minor"/>
    </font>
    <font>
      <i/>
      <sz val="11"/>
      <color theme="1"/>
      <name val="Calibri"/>
      <family val="2"/>
      <scheme val="minor"/>
    </font>
  </fonts>
  <fills count="13">
    <fill>
      <patternFill patternType="none"/>
    </fill>
    <fill>
      <patternFill patternType="gray125"/>
    </fill>
    <fill>
      <patternFill patternType="solid">
        <fgColor rgb="FF1F4E79"/>
        <bgColor rgb="FF1F4E79"/>
      </patternFill>
    </fill>
    <fill>
      <patternFill patternType="solid">
        <fgColor rgb="FFF9FAFB"/>
        <bgColor rgb="FFF9FAFB"/>
      </patternFill>
    </fill>
    <fill>
      <patternFill patternType="solid">
        <fgColor theme="4" tint="-0.249977111117893"/>
        <bgColor indexed="64"/>
      </patternFill>
    </fill>
    <fill>
      <patternFill patternType="solid">
        <fgColor rgb="FF26425A"/>
        <bgColor indexed="64"/>
      </patternFill>
    </fill>
    <fill>
      <patternFill patternType="solid">
        <fgColor rgb="FF26425A"/>
        <bgColor rgb="FF1F4E79"/>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rgb="FF002060"/>
        <bgColor indexed="64"/>
      </patternFill>
    </fill>
    <fill>
      <patternFill patternType="solid">
        <fgColor theme="5"/>
        <bgColor indexed="64"/>
      </patternFill>
    </fill>
    <fill>
      <patternFill patternType="solid">
        <fgColor rgb="FF92D050"/>
        <bgColor indexed="64"/>
      </patternFill>
    </fill>
  </fills>
  <borders count="11">
    <border>
      <left/>
      <right/>
      <top/>
      <bottom/>
      <diagonal/>
    </border>
    <border>
      <left style="thin">
        <color rgb="FFE0E0E0"/>
      </left>
      <right style="thin">
        <color rgb="FFE0E0E0"/>
      </right>
      <top style="thin">
        <color rgb="FFE0E0E0"/>
      </top>
      <bottom style="thin">
        <color rgb="FFE0E0E0"/>
      </bottom>
      <diagonal/>
    </border>
    <border>
      <left/>
      <right/>
      <top style="thin">
        <color auto="1"/>
      </top>
      <bottom style="double">
        <color auto="1"/>
      </bottom>
      <diagonal/>
    </border>
    <border>
      <left/>
      <right style="thick">
        <color rgb="FF26425A"/>
      </right>
      <top/>
      <bottom/>
      <diagonal/>
    </border>
    <border>
      <left/>
      <right/>
      <top/>
      <bottom style="thick">
        <color rgb="FF26425A"/>
      </bottom>
      <diagonal/>
    </border>
    <border>
      <left/>
      <right style="thick">
        <color rgb="FF26425A"/>
      </right>
      <top/>
      <bottom style="thick">
        <color rgb="FF26425A"/>
      </bottom>
      <diagonal/>
    </border>
    <border>
      <left style="thick">
        <color rgb="FF26425A"/>
      </left>
      <right/>
      <top/>
      <bottom/>
      <diagonal/>
    </border>
    <border>
      <left style="thick">
        <color rgb="FF26425A"/>
      </left>
      <right/>
      <top/>
      <bottom style="thick">
        <color rgb="FF26425A"/>
      </bottom>
      <diagonal/>
    </border>
    <border>
      <left/>
      <right style="thick">
        <color auto="1"/>
      </right>
      <top/>
      <bottom/>
      <diagonal/>
    </border>
    <border>
      <left/>
      <right style="thick">
        <color auto="1"/>
      </right>
      <top/>
      <bottom style="thick">
        <color rgb="FF26425A"/>
      </bottom>
      <diagonal/>
    </border>
    <border>
      <left/>
      <right/>
      <top style="thick">
        <color rgb="FF26425A"/>
      </top>
      <bottom/>
      <diagonal/>
    </border>
  </borders>
  <cellStyleXfs count="2">
    <xf numFmtId="0" fontId="0" fillId="0" borderId="0"/>
    <xf numFmtId="9" fontId="16" fillId="0" borderId="0" applyFont="0" applyFill="0" applyBorder="0" applyAlignment="0" applyProtection="0"/>
  </cellStyleXfs>
  <cellXfs count="86">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xf>
    <xf numFmtId="0" fontId="4" fillId="0" borderId="1" xfId="0" applyFont="1" applyBorder="1" applyAlignment="1">
      <alignment horizontal="center"/>
    </xf>
    <xf numFmtId="0" fontId="4" fillId="0" borderId="1" xfId="0" applyFont="1" applyBorder="1"/>
    <xf numFmtId="3" fontId="4" fillId="0" borderId="1" xfId="0" applyNumberFormat="1" applyFont="1" applyBorder="1" applyAlignment="1">
      <alignment horizontal="right"/>
    </xf>
    <xf numFmtId="164" fontId="4" fillId="0" borderId="1" xfId="0" applyNumberFormat="1" applyFont="1" applyBorder="1" applyAlignment="1">
      <alignment horizontal="right"/>
    </xf>
    <xf numFmtId="0" fontId="4" fillId="3" borderId="1" xfId="0" applyFont="1" applyFill="1" applyBorder="1" applyAlignment="1">
      <alignment horizontal="center"/>
    </xf>
    <xf numFmtId="0" fontId="4" fillId="3" borderId="1" xfId="0" applyFont="1" applyFill="1" applyBorder="1"/>
    <xf numFmtId="3"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5" fillId="0" borderId="2" xfId="0" applyFont="1" applyBorder="1"/>
    <xf numFmtId="0" fontId="0" fillId="0" borderId="2" xfId="0" applyBorder="1"/>
    <xf numFmtId="3" fontId="5" fillId="0" borderId="2" xfId="0" applyNumberFormat="1" applyFont="1" applyBorder="1"/>
    <xf numFmtId="164" fontId="5" fillId="0" borderId="2" xfId="0" applyNumberFormat="1" applyFont="1" applyBorder="1"/>
    <xf numFmtId="15" fontId="0" fillId="0" borderId="0" xfId="0" applyNumberFormat="1"/>
    <xf numFmtId="15" fontId="3" fillId="2" borderId="0" xfId="0" applyNumberFormat="1" applyFont="1" applyFill="1" applyAlignment="1">
      <alignment horizontal="center" vertical="center"/>
    </xf>
    <xf numFmtId="15" fontId="4" fillId="0" borderId="1" xfId="0" applyNumberFormat="1" applyFont="1" applyBorder="1" applyAlignment="1">
      <alignment horizontal="center"/>
    </xf>
    <xf numFmtId="15" fontId="4" fillId="3" borderId="1" xfId="0" applyNumberFormat="1" applyFont="1" applyFill="1" applyBorder="1" applyAlignment="1">
      <alignment horizontal="center"/>
    </xf>
    <xf numFmtId="15" fontId="0" fillId="0" borderId="2" xfId="0" applyNumberFormat="1" applyBorder="1"/>
    <xf numFmtId="0" fontId="6" fillId="0" borderId="0" xfId="0" applyFont="1"/>
    <xf numFmtId="0" fontId="0" fillId="0" borderId="0" xfId="0" applyAlignment="1">
      <alignment horizontal="left"/>
    </xf>
    <xf numFmtId="0" fontId="4" fillId="0" borderId="1" xfId="0" applyFont="1" applyBorder="1" applyAlignment="1">
      <alignment horizontal="left"/>
    </xf>
    <xf numFmtId="0" fontId="4" fillId="3" borderId="1" xfId="0" applyFont="1" applyFill="1" applyBorder="1" applyAlignment="1">
      <alignment horizontal="left"/>
    </xf>
    <xf numFmtId="0" fontId="7" fillId="2" borderId="0" xfId="0" applyFont="1" applyFill="1" applyAlignment="1">
      <alignment horizontal="center" vertical="center"/>
    </xf>
    <xf numFmtId="15" fontId="7" fillId="2" borderId="0" xfId="0" applyNumberFormat="1" applyFont="1" applyFill="1" applyAlignment="1">
      <alignment horizontal="center" vertical="center"/>
    </xf>
    <xf numFmtId="165" fontId="0" fillId="0" borderId="0" xfId="0" applyNumberFormat="1"/>
    <xf numFmtId="165" fontId="7" fillId="2" borderId="0" xfId="0" applyNumberFormat="1" applyFont="1" applyFill="1" applyAlignment="1">
      <alignment horizontal="center" vertical="center"/>
    </xf>
    <xf numFmtId="165" fontId="4" fillId="0" borderId="1" xfId="0" applyNumberFormat="1" applyFont="1" applyBorder="1" applyAlignment="1">
      <alignment horizontal="right"/>
    </xf>
    <xf numFmtId="0" fontId="0" fillId="0" borderId="0" xfId="0" applyAlignment="1">
      <alignment horizontal="center"/>
    </xf>
    <xf numFmtId="3" fontId="9" fillId="4" borderId="2" xfId="0" applyNumberFormat="1" applyFont="1" applyFill="1" applyBorder="1"/>
    <xf numFmtId="0" fontId="8" fillId="4" borderId="2" xfId="0" applyFont="1" applyFill="1" applyBorder="1"/>
    <xf numFmtId="164" fontId="9" fillId="4" borderId="2" xfId="0" applyNumberFormat="1" applyFont="1" applyFill="1" applyBorder="1"/>
    <xf numFmtId="165" fontId="8" fillId="4" borderId="2" xfId="0" applyNumberFormat="1" applyFont="1" applyFill="1" applyBorder="1"/>
    <xf numFmtId="0" fontId="8" fillId="4" borderId="2" xfId="0" applyFont="1" applyFill="1" applyBorder="1" applyAlignment="1">
      <alignment horizontal="center"/>
    </xf>
    <xf numFmtId="166" fontId="0" fillId="0" borderId="0" xfId="0" applyNumberFormat="1"/>
    <xf numFmtId="166" fontId="7" fillId="2" borderId="0" xfId="0" applyNumberFormat="1" applyFont="1" applyFill="1" applyAlignment="1">
      <alignment horizontal="center" vertical="center"/>
    </xf>
    <xf numFmtId="166" fontId="4" fillId="0" borderId="1" xfId="0" applyNumberFormat="1" applyFont="1" applyBorder="1" applyAlignment="1">
      <alignment horizontal="right"/>
    </xf>
    <xf numFmtId="166" fontId="8" fillId="4" borderId="2" xfId="0" applyNumberFormat="1" applyFont="1" applyFill="1" applyBorder="1"/>
    <xf numFmtId="3" fontId="0" fillId="0" borderId="0" xfId="0" applyNumberFormat="1"/>
    <xf numFmtId="0" fontId="0" fillId="0" borderId="0" xfId="0" pivotButton="1"/>
    <xf numFmtId="0" fontId="11" fillId="0" borderId="0" xfId="0" applyFont="1"/>
    <xf numFmtId="0" fontId="12" fillId="0" borderId="0" xfId="0" applyFont="1"/>
    <xf numFmtId="0" fontId="13" fillId="0" borderId="0" xfId="0" applyFont="1"/>
    <xf numFmtId="0" fontId="10" fillId="5" borderId="0" xfId="0" applyFont="1" applyFill="1" applyAlignment="1">
      <alignment horizontal="center"/>
    </xf>
    <xf numFmtId="167" fontId="0" fillId="0" borderId="0" xfId="0" applyNumberFormat="1"/>
    <xf numFmtId="167" fontId="9" fillId="6" borderId="0" xfId="0" applyNumberFormat="1" applyFont="1" applyFill="1" applyAlignment="1">
      <alignment horizontal="center" vertical="center"/>
    </xf>
    <xf numFmtId="167" fontId="4" fillId="0" borderId="1" xfId="0" applyNumberFormat="1" applyFont="1" applyBorder="1" applyAlignment="1">
      <alignment horizontal="right"/>
    </xf>
    <xf numFmtId="167" fontId="8" fillId="4" borderId="2" xfId="0" applyNumberFormat="1" applyFont="1" applyFill="1" applyBorder="1"/>
    <xf numFmtId="0" fontId="0" fillId="7" borderId="0" xfId="0" applyFill="1"/>
    <xf numFmtId="0" fontId="0" fillId="5" borderId="0" xfId="0" applyFill="1"/>
    <xf numFmtId="0" fontId="14" fillId="7" borderId="0" xfId="0" applyFont="1" applyFill="1"/>
    <xf numFmtId="0" fontId="0" fillId="7" borderId="3" xfId="0" applyFill="1" applyBorder="1"/>
    <xf numFmtId="0" fontId="0" fillId="8" borderId="0" xfId="0" applyFill="1"/>
    <xf numFmtId="0" fontId="0" fillId="7" borderId="4" xfId="0" applyFill="1" applyBorder="1"/>
    <xf numFmtId="0" fontId="0" fillId="7" borderId="6" xfId="0" applyFill="1" applyBorder="1"/>
    <xf numFmtId="0" fontId="0" fillId="7" borderId="8" xfId="0" applyFill="1" applyBorder="1"/>
    <xf numFmtId="0" fontId="0" fillId="7" borderId="9" xfId="0" applyFill="1" applyBorder="1"/>
    <xf numFmtId="0" fontId="0" fillId="7" borderId="10" xfId="0" applyFill="1" applyBorder="1"/>
    <xf numFmtId="0" fontId="10" fillId="0" borderId="0" xfId="0" applyFont="1"/>
    <xf numFmtId="0" fontId="15" fillId="7" borderId="7" xfId="0" applyFont="1" applyFill="1" applyBorder="1" applyAlignment="1">
      <alignment horizontal="left" vertical="center"/>
    </xf>
    <xf numFmtId="0" fontId="15" fillId="7" borderId="4" xfId="0" applyFont="1" applyFill="1" applyBorder="1" applyAlignment="1">
      <alignment horizontal="left" vertical="center"/>
    </xf>
    <xf numFmtId="0" fontId="15" fillId="7" borderId="5" xfId="0" applyFont="1" applyFill="1" applyBorder="1" applyAlignment="1">
      <alignment horizontal="left" vertical="center"/>
    </xf>
    <xf numFmtId="0" fontId="20" fillId="5" borderId="6" xfId="0" applyFont="1" applyFill="1" applyBorder="1" applyAlignment="1">
      <alignment horizontal="center" vertical="center" wrapText="1"/>
    </xf>
    <xf numFmtId="0" fontId="20" fillId="5" borderId="0" xfId="0" applyFont="1" applyFill="1" applyAlignment="1">
      <alignment horizontal="center" vertical="center" wrapText="1"/>
    </xf>
    <xf numFmtId="0" fontId="20" fillId="5" borderId="3" xfId="0" applyFont="1" applyFill="1" applyBorder="1" applyAlignment="1">
      <alignment horizontal="center" vertical="center" wrapText="1"/>
    </xf>
    <xf numFmtId="0" fontId="19" fillId="5" borderId="6" xfId="0" applyFont="1" applyFill="1" applyBorder="1" applyAlignment="1">
      <alignment horizontal="center" vertical="center" wrapText="1"/>
    </xf>
    <xf numFmtId="0" fontId="19" fillId="5" borderId="0" xfId="0" applyFont="1" applyFill="1" applyAlignment="1">
      <alignment horizontal="center" vertical="center" wrapText="1"/>
    </xf>
    <xf numFmtId="0" fontId="19" fillId="5" borderId="3" xfId="0" applyFont="1" applyFill="1" applyBorder="1" applyAlignment="1">
      <alignment horizontal="center" vertical="center" wrapText="1"/>
    </xf>
    <xf numFmtId="0" fontId="21" fillId="10" borderId="6" xfId="0" applyFont="1" applyFill="1" applyBorder="1" applyAlignment="1">
      <alignment horizontal="center" vertical="center" wrapText="1"/>
    </xf>
    <xf numFmtId="0" fontId="21" fillId="10" borderId="0" xfId="0" applyFont="1" applyFill="1" applyAlignment="1">
      <alignment horizontal="center" vertical="center"/>
    </xf>
    <xf numFmtId="0" fontId="21" fillId="10" borderId="6" xfId="0" applyFont="1" applyFill="1" applyBorder="1" applyAlignment="1">
      <alignment horizontal="center" vertical="center"/>
    </xf>
    <xf numFmtId="0" fontId="21" fillId="10" borderId="0" xfId="0" applyFont="1" applyFill="1" applyAlignment="1">
      <alignment horizontal="center" vertical="center" wrapText="1"/>
    </xf>
    <xf numFmtId="0" fontId="21" fillId="10" borderId="3" xfId="0" applyFont="1" applyFill="1" applyBorder="1" applyAlignment="1">
      <alignment horizontal="center" vertical="center"/>
    </xf>
    <xf numFmtId="165" fontId="17" fillId="12" borderId="6" xfId="0" applyNumberFormat="1" applyFont="1" applyFill="1" applyBorder="1" applyAlignment="1">
      <alignment horizontal="center" vertical="center"/>
    </xf>
    <xf numFmtId="165" fontId="17" fillId="12" borderId="0" xfId="0" applyNumberFormat="1" applyFont="1" applyFill="1" applyAlignment="1">
      <alignment horizontal="center" vertical="center"/>
    </xf>
    <xf numFmtId="165" fontId="18" fillId="11" borderId="0" xfId="0" applyNumberFormat="1" applyFont="1" applyFill="1" applyAlignment="1">
      <alignment horizontal="center" vertical="center"/>
    </xf>
    <xf numFmtId="3" fontId="22" fillId="9" borderId="0" xfId="0" applyNumberFormat="1" applyFont="1" applyFill="1" applyAlignment="1">
      <alignment horizontal="center" vertical="center"/>
    </xf>
    <xf numFmtId="0" fontId="22" fillId="9" borderId="0" xfId="0" applyFont="1" applyFill="1" applyAlignment="1">
      <alignment horizontal="center" vertical="center"/>
    </xf>
    <xf numFmtId="169" fontId="18" fillId="11" borderId="0" xfId="0" applyNumberFormat="1" applyFont="1" applyFill="1" applyAlignment="1">
      <alignment horizontal="center" vertical="center"/>
    </xf>
    <xf numFmtId="168" fontId="18" fillId="12" borderId="0" xfId="1" applyNumberFormat="1" applyFont="1" applyFill="1" applyAlignment="1">
      <alignment horizontal="center" vertical="center"/>
    </xf>
    <xf numFmtId="168" fontId="18" fillId="12" borderId="8" xfId="1" applyNumberFormat="1" applyFont="1" applyFill="1" applyBorder="1" applyAlignment="1">
      <alignment horizontal="center" vertical="center"/>
    </xf>
    <xf numFmtId="170" fontId="22" fillId="9" borderId="0" xfId="0" applyNumberFormat="1" applyFont="1" applyFill="1" applyAlignment="1">
      <alignment horizontal="center" vertical="center"/>
    </xf>
    <xf numFmtId="0" fontId="9" fillId="4" borderId="2" xfId="0" applyFont="1" applyFill="1" applyBorder="1" applyAlignment="1">
      <alignment horizontal="center"/>
    </xf>
    <xf numFmtId="0" fontId="23" fillId="0" borderId="0" xfId="0" applyFont="1" applyAlignment="1">
      <alignment horizontal="left"/>
    </xf>
  </cellXfs>
  <cellStyles count="2">
    <cellStyle name="Normal" xfId="0" builtinId="0"/>
    <cellStyle name="Percent" xfId="1" builtinId="5"/>
  </cellStyles>
  <dxfs count="31">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0000"/>
        </patternFill>
      </fill>
    </dxf>
    <dxf>
      <font>
        <color rgb="FF9C0006"/>
      </font>
      <fill>
        <patternFill>
          <bgColor rgb="FFFFC7CE"/>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0000"/>
        </patternFill>
      </fill>
    </dxf>
    <dxf>
      <numFmt numFmtId="167" formatCode="0&quot; days left&quot;;\-0&quot; days ago&quot;;&quot;0 days left&quot;"/>
    </dxf>
    <dxf>
      <numFmt numFmtId="167" formatCode="0&quot; days left&quot;;\-0&quot; days ago&quot;;&quot;0 days left&quot;"/>
    </dxf>
    <dxf>
      <font>
        <b/>
        <i val="0"/>
        <sz val="18"/>
        <name val="Calibri"/>
        <family val="2"/>
        <scheme val="minor"/>
      </font>
    </dxf>
    <dxf>
      <fill>
        <patternFill>
          <bgColor theme="9" tint="0.79998168889431442"/>
        </patternFill>
      </fill>
      <border>
        <left style="thin">
          <color auto="1"/>
        </left>
        <right style="thin">
          <color auto="1"/>
        </right>
        <top style="thin">
          <color auto="1"/>
        </top>
        <bottom style="thin">
          <color auto="1"/>
        </bottom>
      </border>
    </dxf>
    <dxf>
      <font>
        <b/>
        <i val="0"/>
        <color rgb="FFFFFFFF"/>
      </font>
      <fill>
        <patternFill>
          <bgColor rgb="FF26425A"/>
        </patternFill>
      </fill>
    </dxf>
    <dxf>
      <font>
        <b/>
        <i val="0"/>
        <color rgb="FFFFFFFF"/>
      </font>
      <fill>
        <patternFill>
          <bgColor rgb="FF26425A"/>
        </patternFill>
      </fill>
    </dxf>
    <dxf>
      <font>
        <b/>
        <i val="0"/>
        <color rgb="FFFFFFFF"/>
      </font>
      <fill>
        <patternFill>
          <bgColor rgb="FF26425A"/>
        </patternFill>
      </fill>
    </dxf>
    <dxf>
      <font>
        <b/>
        <i val="0"/>
        <color rgb="FFFFFFFF"/>
      </font>
      <fill>
        <patternFill>
          <bgColor rgb="FF26425A"/>
        </patternFill>
      </fill>
    </dxf>
    <dxf>
      <font>
        <b/>
        <i val="0"/>
        <color rgb="FFFFFFFF"/>
      </font>
      <fill>
        <patternFill>
          <bgColor rgb="FF26425A"/>
        </patternFill>
      </fill>
    </dxf>
    <dxf>
      <fill>
        <patternFill>
          <bgColor rgb="FFFFFFCC"/>
        </patternFill>
      </fill>
    </dxf>
  </dxfs>
  <tableStyles count="4" defaultTableStyle="TableStyleMedium2" defaultPivotStyle="PivotStyleLight16">
    <tableStyle name="PivotTable Style 1" table="0" count="6" xr9:uid="{39E8D64F-AC51-4285-A419-E957E2CA5A4E}">
      <tableStyleElement type="wholeTable" dxfId="30"/>
      <tableStyleElement type="headerRow" dxfId="29"/>
      <tableStyleElement type="totalRow" dxfId="28"/>
      <tableStyleElement type="lastColumn" dxfId="27"/>
      <tableStyleElement type="pageFieldLabels" dxfId="26"/>
      <tableStyleElement type="pageFieldValues" dxfId="25"/>
    </tableStyle>
    <tableStyle name="Slicer Style 1" pivot="0" table="0" count="0" xr9:uid="{E7A4EA51-C756-4B92-92FC-5A695941408A}"/>
    <tableStyle name="Slicer Style 3" pivot="0" table="0" count="0" xr9:uid="{7E5A934E-2F3C-4ACE-995A-5DE5C9351BA7}"/>
    <tableStyle name="STYLE 2 " pivot="0" table="0" count="4" xr9:uid="{81113429-D20F-4D2B-910D-EF663911773D}">
      <tableStyleElement type="wholeTable" dxfId="24"/>
      <tableStyleElement type="headerRow" dxfId="23"/>
    </tableStyle>
  </tableStyles>
  <colors>
    <mruColors>
      <color rgb="FF26425A"/>
      <color rgb="FFFFFFCC"/>
      <color rgb="FFFFFFFF"/>
      <color rgb="FFCC0099"/>
      <color rgb="FFC38EB4"/>
      <color rgb="FF86A8CF"/>
      <color rgb="FF9AB5AE"/>
      <color rgb="FFE1CBD7"/>
      <color rgb="FFDBDAE5"/>
    </mruColors>
  </colors>
  <extLst>
    <ext xmlns:x14="http://schemas.microsoft.com/office/spreadsheetml/2009/9/main" uri="{46F421CA-312F-682f-3DD2-61675219B42D}">
      <x14:dxfs count="2">
        <dxf>
          <font>
            <b val="0"/>
            <i val="0"/>
            <sz val="14"/>
            <color rgb="FFFFFFFF"/>
            <name val="Calibri"/>
            <family val="2"/>
            <scheme val="minor"/>
          </font>
          <fill>
            <patternFill>
              <bgColor theme="3" tint="-0.24994659260841701"/>
            </patternFill>
          </fill>
        </dxf>
        <dxf>
          <font>
            <sz val="14"/>
            <color theme="0"/>
            <name val="Calibri"/>
            <family val="2"/>
            <scheme val="minor"/>
          </font>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 name="Slicer Style 3"/>
        <x14:slicerStyle name="STYLE 2 ">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[FIFO FEFO.xlsx]PIVOT!Pivot 1</c:name>
    <c:fmtId val="4"/>
  </c:pivotSource>
  <c:chart>
    <c:title>
      <c:tx>
        <c:rich>
          <a:bodyPr rot="0" spcFirstLastPara="1" vertOverflow="ellipsis" vert="horz" wrap="square" anchor="ctr" anchorCtr="1"/>
          <a:lstStyle/>
          <a:p>
            <a:pPr>
              <a:defRPr sz="2800" b="1" i="0" u="none" strike="noStrike" kern="1200" spc="0" baseline="0">
                <a:solidFill>
                  <a:srgbClr val="26425A"/>
                </a:solidFill>
                <a:latin typeface="+mn-lt"/>
                <a:ea typeface="+mn-ea"/>
                <a:cs typeface="+mn-cs"/>
              </a:defRPr>
            </a:pPr>
            <a:r>
              <a:rPr lang="en-US" sz="2800" b="1">
                <a:solidFill>
                  <a:srgbClr val="26425A"/>
                </a:solidFill>
              </a:rPr>
              <a:t>Stock Inbound, Outbound &amp; Balance Summary</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26425A"/>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762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47625" cap="rnd">
            <a:solidFill>
              <a:srgbClr val="26425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47625" cap="rnd">
            <a:solidFill>
              <a:srgbClr val="C38EB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47625" cap="rnd">
            <a:solidFill>
              <a:srgbClr val="C38EB4"/>
            </a:solidFill>
            <a:round/>
          </a:ln>
          <a:effectLst/>
        </c:spPr>
        <c:marker>
          <c:symbol val="none"/>
        </c:marker>
      </c:pivotFmt>
    </c:pivotFmts>
    <c:plotArea>
      <c:layout>
        <c:manualLayout>
          <c:layoutTarget val="inner"/>
          <c:xMode val="edge"/>
          <c:yMode val="edge"/>
          <c:x val="0.10406529683921784"/>
          <c:y val="0.1437292572323379"/>
          <c:w val="0.74135749092718772"/>
          <c:h val="0.71643535651840273"/>
        </c:manualLayout>
      </c:layout>
      <c:lineChart>
        <c:grouping val="standard"/>
        <c:varyColors val="0"/>
        <c:ser>
          <c:idx val="0"/>
          <c:order val="0"/>
          <c:tx>
            <c:strRef>
              <c:f>PIVOT!$B$5</c:f>
              <c:strCache>
                <c:ptCount val="1"/>
                <c:pt idx="0">
                  <c:v>Quantity Outbound</c:v>
                </c:pt>
              </c:strCache>
            </c:strRef>
          </c:tx>
          <c:spPr>
            <a:ln w="47625" cap="rnd">
              <a:solidFill>
                <a:schemeClr val="accent3">
                  <a:lumMod val="75000"/>
                </a:schemeClr>
              </a:solidFill>
              <a:round/>
            </a:ln>
            <a:effectLst/>
          </c:spPr>
          <c:marker>
            <c:symbol val="none"/>
          </c:marker>
          <c:cat>
            <c:strRef>
              <c:f>PIVOT!$A$6:$A$12</c:f>
              <c:strCache>
                <c:ptCount val="6"/>
                <c:pt idx="0">
                  <c:v>Cleanser</c:v>
                </c:pt>
                <c:pt idx="1">
                  <c:v>Makeup</c:v>
                </c:pt>
                <c:pt idx="2">
                  <c:v>Moisturizer</c:v>
                </c:pt>
                <c:pt idx="3">
                  <c:v>Serum</c:v>
                </c:pt>
                <c:pt idx="4">
                  <c:v>Sunscreen</c:v>
                </c:pt>
                <c:pt idx="5">
                  <c:v>Toner</c:v>
                </c:pt>
              </c:strCache>
            </c:strRef>
          </c:cat>
          <c:val>
            <c:numRef>
              <c:f>PIVOT!$B$6:$B$12</c:f>
              <c:numCache>
                <c:formatCode>#,##0</c:formatCode>
                <c:ptCount val="6"/>
                <c:pt idx="0">
                  <c:v>5800</c:v>
                </c:pt>
                <c:pt idx="1">
                  <c:v>11650</c:v>
                </c:pt>
                <c:pt idx="2">
                  <c:v>6800</c:v>
                </c:pt>
                <c:pt idx="3">
                  <c:v>2200</c:v>
                </c:pt>
                <c:pt idx="4">
                  <c:v>3700</c:v>
                </c:pt>
                <c:pt idx="5">
                  <c:v>6800</c:v>
                </c:pt>
              </c:numCache>
            </c:numRef>
          </c:val>
          <c:smooth val="0"/>
          <c:extLst>
            <c:ext xmlns:c16="http://schemas.microsoft.com/office/drawing/2014/chart" uri="{C3380CC4-5D6E-409C-BE32-E72D297353CC}">
              <c16:uniqueId val="{00000000-D5D3-47F4-B2AB-09656C217798}"/>
            </c:ext>
          </c:extLst>
        </c:ser>
        <c:ser>
          <c:idx val="1"/>
          <c:order val="1"/>
          <c:tx>
            <c:strRef>
              <c:f>PIVOT!$C$5</c:f>
              <c:strCache>
                <c:ptCount val="1"/>
                <c:pt idx="0">
                  <c:v>Quantity Inbound</c:v>
                </c:pt>
              </c:strCache>
            </c:strRef>
          </c:tx>
          <c:spPr>
            <a:ln w="47625" cap="rnd">
              <a:solidFill>
                <a:srgbClr val="26425A"/>
              </a:solidFill>
              <a:round/>
            </a:ln>
            <a:effectLst/>
          </c:spPr>
          <c:marker>
            <c:symbol val="none"/>
          </c:marker>
          <c:cat>
            <c:strRef>
              <c:f>PIVOT!$A$6:$A$12</c:f>
              <c:strCache>
                <c:ptCount val="6"/>
                <c:pt idx="0">
                  <c:v>Cleanser</c:v>
                </c:pt>
                <c:pt idx="1">
                  <c:v>Makeup</c:v>
                </c:pt>
                <c:pt idx="2">
                  <c:v>Moisturizer</c:v>
                </c:pt>
                <c:pt idx="3">
                  <c:v>Serum</c:v>
                </c:pt>
                <c:pt idx="4">
                  <c:v>Sunscreen</c:v>
                </c:pt>
                <c:pt idx="5">
                  <c:v>Toner</c:v>
                </c:pt>
              </c:strCache>
            </c:strRef>
          </c:cat>
          <c:val>
            <c:numRef>
              <c:f>PIVOT!$C$6:$C$12</c:f>
              <c:numCache>
                <c:formatCode>#,##0</c:formatCode>
                <c:ptCount val="6"/>
                <c:pt idx="0">
                  <c:v>23600</c:v>
                </c:pt>
                <c:pt idx="1">
                  <c:v>22250</c:v>
                </c:pt>
                <c:pt idx="2">
                  <c:v>21600</c:v>
                </c:pt>
                <c:pt idx="3">
                  <c:v>13000</c:v>
                </c:pt>
                <c:pt idx="4">
                  <c:v>10700</c:v>
                </c:pt>
                <c:pt idx="5">
                  <c:v>23650</c:v>
                </c:pt>
              </c:numCache>
            </c:numRef>
          </c:val>
          <c:smooth val="0"/>
          <c:extLst>
            <c:ext xmlns:c16="http://schemas.microsoft.com/office/drawing/2014/chart" uri="{C3380CC4-5D6E-409C-BE32-E72D297353CC}">
              <c16:uniqueId val="{00000001-D5D3-47F4-B2AB-09656C217798}"/>
            </c:ext>
          </c:extLst>
        </c:ser>
        <c:ser>
          <c:idx val="2"/>
          <c:order val="2"/>
          <c:tx>
            <c:strRef>
              <c:f>PIVOT!$D$5</c:f>
              <c:strCache>
                <c:ptCount val="1"/>
                <c:pt idx="0">
                  <c:v>Quantity Remaining</c:v>
                </c:pt>
              </c:strCache>
            </c:strRef>
          </c:tx>
          <c:spPr>
            <a:ln w="47625" cap="rnd">
              <a:solidFill>
                <a:srgbClr val="C38EB4"/>
              </a:solidFill>
              <a:round/>
            </a:ln>
            <a:effectLst/>
          </c:spPr>
          <c:marker>
            <c:symbol val="none"/>
          </c:marker>
          <c:cat>
            <c:strRef>
              <c:f>PIVOT!$A$6:$A$12</c:f>
              <c:strCache>
                <c:ptCount val="6"/>
                <c:pt idx="0">
                  <c:v>Cleanser</c:v>
                </c:pt>
                <c:pt idx="1">
                  <c:v>Makeup</c:v>
                </c:pt>
                <c:pt idx="2">
                  <c:v>Moisturizer</c:v>
                </c:pt>
                <c:pt idx="3">
                  <c:v>Serum</c:v>
                </c:pt>
                <c:pt idx="4">
                  <c:v>Sunscreen</c:v>
                </c:pt>
                <c:pt idx="5">
                  <c:v>Toner</c:v>
                </c:pt>
              </c:strCache>
            </c:strRef>
          </c:cat>
          <c:val>
            <c:numRef>
              <c:f>PIVOT!$D$6:$D$12</c:f>
              <c:numCache>
                <c:formatCode>#,##0</c:formatCode>
                <c:ptCount val="6"/>
                <c:pt idx="0">
                  <c:v>17800</c:v>
                </c:pt>
                <c:pt idx="1">
                  <c:v>10600</c:v>
                </c:pt>
                <c:pt idx="2">
                  <c:v>14800</c:v>
                </c:pt>
                <c:pt idx="3">
                  <c:v>10800</c:v>
                </c:pt>
                <c:pt idx="4">
                  <c:v>7000</c:v>
                </c:pt>
                <c:pt idx="5">
                  <c:v>16850</c:v>
                </c:pt>
              </c:numCache>
            </c:numRef>
          </c:val>
          <c:smooth val="0"/>
          <c:extLst>
            <c:ext xmlns:c16="http://schemas.microsoft.com/office/drawing/2014/chart" uri="{C3380CC4-5D6E-409C-BE32-E72D297353CC}">
              <c16:uniqueId val="{00000002-D5D3-47F4-B2AB-09656C217798}"/>
            </c:ext>
          </c:extLst>
        </c:ser>
        <c:dLbls>
          <c:showLegendKey val="0"/>
          <c:showVal val="0"/>
          <c:showCatName val="0"/>
          <c:showSerName val="0"/>
          <c:showPercent val="0"/>
          <c:showBubbleSize val="0"/>
        </c:dLbls>
        <c:smooth val="0"/>
        <c:axId val="1496490144"/>
        <c:axId val="1496489184"/>
      </c:lineChart>
      <c:catAx>
        <c:axId val="149649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solidFill>
                      <a:srgbClr val="26425A"/>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rgbClr val="26425A"/>
                </a:solidFill>
                <a:latin typeface="+mn-lt"/>
                <a:ea typeface="+mn-ea"/>
                <a:cs typeface="+mn-cs"/>
              </a:defRPr>
            </a:pPr>
            <a:endParaRPr lang="en-US"/>
          </a:p>
        </c:txPr>
        <c:crossAx val="1496489184"/>
        <c:crosses val="autoZero"/>
        <c:auto val="1"/>
        <c:lblAlgn val="ctr"/>
        <c:lblOffset val="100"/>
        <c:noMultiLvlLbl val="0"/>
      </c:catAx>
      <c:valAx>
        <c:axId val="1496489184"/>
        <c:scaling>
          <c:orientation val="minMax"/>
        </c:scaling>
        <c:delete val="0"/>
        <c:axPos val="l"/>
        <c:majorGridlines>
          <c:spPr>
            <a:ln w="5397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rgbClr val="26425A"/>
                </a:solidFill>
                <a:latin typeface="+mn-lt"/>
                <a:ea typeface="+mn-ea"/>
                <a:cs typeface="+mn-cs"/>
              </a:defRPr>
            </a:pPr>
            <a:endParaRPr lang="en-US"/>
          </a:p>
        </c:txPr>
        <c:crossAx val="149649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rgbClr val="26425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[FIFO FEFO.xlsx]PIVOT!Pivot 3</c:name>
    <c:fmtId val="19"/>
  </c:pivotSource>
  <c:chart>
    <c:title>
      <c:tx>
        <c:rich>
          <a:bodyPr rot="0" spcFirstLastPara="1" vertOverflow="ellipsis" vert="horz" wrap="square" anchor="ctr" anchorCtr="1"/>
          <a:lstStyle/>
          <a:p>
            <a:pPr>
              <a:defRPr sz="2400" b="1" i="0" u="none" strike="noStrike" kern="1200" spc="0" baseline="0">
                <a:solidFill>
                  <a:srgbClr val="26425A"/>
                </a:solidFill>
                <a:latin typeface="+mn-lt"/>
                <a:ea typeface="+mn-ea"/>
                <a:cs typeface="+mn-cs"/>
              </a:defRPr>
            </a:pPr>
            <a:r>
              <a:rPr lang="en-US" sz="2400" b="1">
                <a:solidFill>
                  <a:srgbClr val="26425A"/>
                </a:solidFill>
              </a:rPr>
              <a:t>Inventory Status</a:t>
            </a:r>
            <a:r>
              <a:rPr lang="en-US" sz="2400" b="1" baseline="0">
                <a:solidFill>
                  <a:srgbClr val="26425A"/>
                </a:solidFill>
              </a:rPr>
              <a:t> </a:t>
            </a:r>
            <a:r>
              <a:rPr lang="en-US" sz="2400" b="1">
                <a:solidFill>
                  <a:srgbClr val="26425A"/>
                </a:solidFill>
              </a:rPr>
              <a:t>by Ending</a:t>
            </a:r>
            <a:r>
              <a:rPr lang="en-US" sz="2400" b="1" baseline="0">
                <a:solidFill>
                  <a:srgbClr val="26425A"/>
                </a:solidFill>
              </a:rPr>
              <a:t> Inventory</a:t>
            </a:r>
            <a:endParaRPr lang="en-US" sz="2400" b="1">
              <a:solidFill>
                <a:srgbClr val="26425A"/>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26425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26425A"/>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38EB4"/>
          </a:solidFill>
          <a:ln w="19050">
            <a:solidFill>
              <a:schemeClr val="lt1"/>
            </a:solidFill>
          </a:ln>
          <a:effectLst/>
        </c:spPr>
        <c:dLbl>
          <c:idx val="0"/>
          <c:layout>
            <c:manualLayout>
              <c:x val="-0.10102862961378893"/>
              <c:y val="9.392187413795399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26425A"/>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708587386722994"/>
                  <c:h val="0.12080534359132408"/>
                </c:manualLayout>
              </c15:layout>
            </c:ext>
          </c:extLst>
        </c:dLbl>
      </c:pivotFmt>
      <c:pivotFmt>
        <c:idx val="18"/>
        <c:spPr>
          <a:solidFill>
            <a:srgbClr val="002060"/>
          </a:solidFill>
          <a:ln w="19050">
            <a:solidFill>
              <a:schemeClr val="lt1"/>
            </a:solidFill>
          </a:ln>
          <a:effectLst/>
        </c:spPr>
        <c:dLbl>
          <c:idx val="0"/>
          <c:layout>
            <c:manualLayout>
              <c:x val="-2.0800011979309488E-2"/>
              <c:y val="4.483431911762001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26425A"/>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034300132240345"/>
                  <c:h val="0.11778521000154098"/>
                </c:manualLayout>
              </c15:layout>
            </c:ext>
          </c:extLst>
        </c:dLbl>
      </c:pivotFmt>
      <c:pivotFmt>
        <c:idx val="19"/>
        <c:spPr>
          <a:solidFill>
            <a:srgbClr val="26425A"/>
          </a:solidFill>
          <a:ln w="19050">
            <a:solidFill>
              <a:schemeClr val="lt1"/>
            </a:solidFill>
          </a:ln>
          <a:effectLst/>
        </c:spPr>
        <c:dLbl>
          <c:idx val="0"/>
          <c:layout>
            <c:manualLayout>
              <c:x val="0.29106689914720663"/>
              <c:y val="-0.1085850465715157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26425A"/>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038643567812719"/>
                  <c:h val="0.12024158532123123"/>
                </c:manualLayout>
              </c15:layout>
            </c:ext>
          </c:extLst>
        </c:dLbl>
      </c:pivotFmt>
      <c:pivotFmt>
        <c:idx val="20"/>
        <c:spPr>
          <a:solidFill>
            <a:srgbClr val="86A8CF"/>
          </a:solidFill>
          <a:ln w="19050">
            <a:solidFill>
              <a:schemeClr val="lt1"/>
            </a:solidFill>
          </a:ln>
          <a:effectLst/>
        </c:spPr>
        <c:dLbl>
          <c:idx val="0"/>
          <c:layout>
            <c:manualLayout>
              <c:x val="0"/>
              <c:y val="7.31093392685776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26425A"/>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302873443274695"/>
                  <c:h val="0.12080534359132408"/>
                </c:manualLayout>
              </c15:layout>
            </c:ext>
          </c:extLst>
        </c:dLbl>
      </c:pivotFmt>
    </c:pivotFmts>
    <c:plotArea>
      <c:layout/>
      <c:pieChart>
        <c:varyColors val="1"/>
        <c:ser>
          <c:idx val="0"/>
          <c:order val="0"/>
          <c:tx>
            <c:strRef>
              <c:f>PIVOT!$E$16</c:f>
              <c:strCache>
                <c:ptCount val="1"/>
                <c:pt idx="0">
                  <c:v>Total</c:v>
                </c:pt>
              </c:strCache>
            </c:strRef>
          </c:tx>
          <c:dPt>
            <c:idx val="0"/>
            <c:bubble3D val="0"/>
            <c:spPr>
              <a:solidFill>
                <a:srgbClr val="C38EB4"/>
              </a:solidFill>
              <a:ln w="19050">
                <a:solidFill>
                  <a:schemeClr val="lt1"/>
                </a:solidFill>
              </a:ln>
              <a:effectLst/>
            </c:spPr>
            <c:extLst>
              <c:ext xmlns:c16="http://schemas.microsoft.com/office/drawing/2014/chart" uri="{C3380CC4-5D6E-409C-BE32-E72D297353CC}">
                <c16:uniqueId val="{00000001-7EE0-4131-AC3F-06B4B94C0FC5}"/>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7EE0-4131-AC3F-06B4B94C0FC5}"/>
              </c:ext>
            </c:extLst>
          </c:dPt>
          <c:dPt>
            <c:idx val="2"/>
            <c:bubble3D val="0"/>
            <c:spPr>
              <a:solidFill>
                <a:srgbClr val="26425A"/>
              </a:solidFill>
              <a:ln w="19050">
                <a:solidFill>
                  <a:schemeClr val="lt1"/>
                </a:solidFill>
              </a:ln>
              <a:effectLst/>
            </c:spPr>
            <c:extLst>
              <c:ext xmlns:c16="http://schemas.microsoft.com/office/drawing/2014/chart" uri="{C3380CC4-5D6E-409C-BE32-E72D297353CC}">
                <c16:uniqueId val="{00000005-7EE0-4131-AC3F-06B4B94C0FC5}"/>
              </c:ext>
            </c:extLst>
          </c:dPt>
          <c:dPt>
            <c:idx val="3"/>
            <c:bubble3D val="0"/>
            <c:spPr>
              <a:solidFill>
                <a:srgbClr val="86A8CF"/>
              </a:solidFill>
              <a:ln w="19050">
                <a:solidFill>
                  <a:schemeClr val="lt1"/>
                </a:solidFill>
              </a:ln>
              <a:effectLst/>
            </c:spPr>
            <c:extLst>
              <c:ext xmlns:c16="http://schemas.microsoft.com/office/drawing/2014/chart" uri="{C3380CC4-5D6E-409C-BE32-E72D297353CC}">
                <c16:uniqueId val="{00000007-7EE0-4131-AC3F-06B4B94C0FC5}"/>
              </c:ext>
            </c:extLst>
          </c:dPt>
          <c:dLbls>
            <c:dLbl>
              <c:idx val="0"/>
              <c:layout>
                <c:manualLayout>
                  <c:x val="-0.10102862961378893"/>
                  <c:y val="9.3921874137953998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7708587386722994"/>
                      <c:h val="0.12080534359132408"/>
                    </c:manualLayout>
                  </c15:layout>
                </c:ext>
                <c:ext xmlns:c16="http://schemas.microsoft.com/office/drawing/2014/chart" uri="{C3380CC4-5D6E-409C-BE32-E72D297353CC}">
                  <c16:uniqueId val="{00000001-7EE0-4131-AC3F-06B4B94C0FC5}"/>
                </c:ext>
              </c:extLst>
            </c:dLbl>
            <c:dLbl>
              <c:idx val="1"/>
              <c:layout>
                <c:manualLayout>
                  <c:x val="-2.0800011979309488E-2"/>
                  <c:y val="4.483431911762001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5034300132240345"/>
                      <c:h val="0.11778521000154098"/>
                    </c:manualLayout>
                  </c15:layout>
                </c:ext>
                <c:ext xmlns:c16="http://schemas.microsoft.com/office/drawing/2014/chart" uri="{C3380CC4-5D6E-409C-BE32-E72D297353CC}">
                  <c16:uniqueId val="{00000003-7EE0-4131-AC3F-06B4B94C0FC5}"/>
                </c:ext>
              </c:extLst>
            </c:dLbl>
            <c:dLbl>
              <c:idx val="2"/>
              <c:layout>
                <c:manualLayout>
                  <c:x val="0.29106689914720663"/>
                  <c:y val="-0.10858504657151578"/>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038643567812719"/>
                      <c:h val="0.12024158532123123"/>
                    </c:manualLayout>
                  </c15:layout>
                </c:ext>
                <c:ext xmlns:c16="http://schemas.microsoft.com/office/drawing/2014/chart" uri="{C3380CC4-5D6E-409C-BE32-E72D297353CC}">
                  <c16:uniqueId val="{00000005-7EE0-4131-AC3F-06B4B94C0FC5}"/>
                </c:ext>
              </c:extLst>
            </c:dLbl>
            <c:dLbl>
              <c:idx val="3"/>
              <c:layout>
                <c:manualLayout>
                  <c:x val="0"/>
                  <c:y val="7.31093392685776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8302873443274695"/>
                      <c:h val="0.12080534359132408"/>
                    </c:manualLayout>
                  </c15:layout>
                </c:ext>
                <c:ext xmlns:c16="http://schemas.microsoft.com/office/drawing/2014/chart" uri="{C3380CC4-5D6E-409C-BE32-E72D297353CC}">
                  <c16:uniqueId val="{00000007-7EE0-4131-AC3F-06B4B94C0FC5}"/>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26425A"/>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PIVOT!$D$17:$D$21</c:f>
              <c:strCache>
                <c:ptCount val="4"/>
                <c:pt idx="0">
                  <c:v>CRITICAL</c:v>
                </c:pt>
                <c:pt idx="1">
                  <c:v>EXPIRED</c:v>
                </c:pt>
                <c:pt idx="2">
                  <c:v>SAFE</c:v>
                </c:pt>
                <c:pt idx="3">
                  <c:v>WARNING</c:v>
                </c:pt>
              </c:strCache>
            </c:strRef>
          </c:cat>
          <c:val>
            <c:numRef>
              <c:f>PIVOT!$E$17:$E$21</c:f>
              <c:numCache>
                <c:formatCode>[$Rp-421]#,##0</c:formatCode>
                <c:ptCount val="4"/>
                <c:pt idx="0">
                  <c:v>539850000</c:v>
                </c:pt>
                <c:pt idx="1">
                  <c:v>236600000</c:v>
                </c:pt>
                <c:pt idx="2">
                  <c:v>2623500000</c:v>
                </c:pt>
                <c:pt idx="3">
                  <c:v>810600000</c:v>
                </c:pt>
              </c:numCache>
            </c:numRef>
          </c:val>
          <c:extLst>
            <c:ext xmlns:c16="http://schemas.microsoft.com/office/drawing/2014/chart" uri="{C3380CC4-5D6E-409C-BE32-E72D297353CC}">
              <c16:uniqueId val="{00000008-7EE0-4131-AC3F-06B4B94C0F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rgbClr val="26425A"/>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[FIFO FEFO.xlsx]PIVOT!Pivot 2</c:name>
    <c:fmtId val="18"/>
  </c:pivotSource>
  <c:chart>
    <c:title>
      <c:tx>
        <c:rich>
          <a:bodyPr rot="0" spcFirstLastPara="1" vertOverflow="ellipsis" vert="horz" wrap="square" anchor="ctr" anchorCtr="1"/>
          <a:lstStyle/>
          <a:p>
            <a:pPr>
              <a:defRPr sz="2800" b="1" i="0" u="none" strike="noStrike" kern="1200" spc="0" baseline="0">
                <a:solidFill>
                  <a:srgbClr val="26425A"/>
                </a:solidFill>
                <a:latin typeface="+mn-lt"/>
                <a:ea typeface="+mn-ea"/>
                <a:cs typeface="+mn-cs"/>
              </a:defRPr>
            </a:pPr>
            <a:r>
              <a:rPr lang="en-US" sz="2800" b="1">
                <a:solidFill>
                  <a:srgbClr val="26425A"/>
                </a:solidFill>
              </a:rPr>
              <a:t>Inventory</a:t>
            </a:r>
            <a:r>
              <a:rPr lang="en-US" sz="2800" b="1" baseline="0">
                <a:solidFill>
                  <a:srgbClr val="26425A"/>
                </a:solidFill>
              </a:rPr>
              <a:t> Quantity by Risk Status</a:t>
            </a:r>
            <a:endParaRPr lang="en-US" sz="2800" b="1">
              <a:solidFill>
                <a:srgbClr val="26425A"/>
              </a:solidFill>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26425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26425A"/>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C38EB4"/>
          </a:solidFill>
          <a:ln w="19050">
            <a:solidFill>
              <a:schemeClr val="lt1"/>
            </a:solidFill>
          </a:ln>
          <a:effectLst/>
        </c:spPr>
      </c:pivotFmt>
      <c:pivotFmt>
        <c:idx val="12"/>
        <c:spPr>
          <a:solidFill>
            <a:srgbClr val="002060"/>
          </a:solidFill>
          <a:ln w="19050">
            <a:solidFill>
              <a:schemeClr val="lt1"/>
            </a:solidFill>
          </a:ln>
          <a:effectLst/>
        </c:spPr>
      </c:pivotFmt>
      <c:pivotFmt>
        <c:idx val="13"/>
        <c:spPr>
          <a:solidFill>
            <a:srgbClr val="26425A"/>
          </a:solidFill>
          <a:ln w="19050">
            <a:solidFill>
              <a:schemeClr val="lt1"/>
            </a:solidFill>
          </a:ln>
          <a:effectLst/>
        </c:spPr>
      </c:pivotFmt>
      <c:pivotFmt>
        <c:idx val="14"/>
        <c:spPr>
          <a:solidFill>
            <a:srgbClr val="86A8CF"/>
          </a:solidFill>
          <a:ln w="19050">
            <a:solidFill>
              <a:schemeClr val="lt1"/>
            </a:solidFill>
          </a:ln>
          <a:effectLst/>
        </c:spPr>
      </c:pivotFmt>
    </c:pivotFmts>
    <c:plotArea>
      <c:layout/>
      <c:doughnutChart>
        <c:varyColors val="1"/>
        <c:ser>
          <c:idx val="0"/>
          <c:order val="0"/>
          <c:tx>
            <c:strRef>
              <c:f>PIVOT!$B$16</c:f>
              <c:strCache>
                <c:ptCount val="1"/>
                <c:pt idx="0">
                  <c:v>Total</c:v>
                </c:pt>
              </c:strCache>
            </c:strRef>
          </c:tx>
          <c:dPt>
            <c:idx val="0"/>
            <c:bubble3D val="0"/>
            <c:spPr>
              <a:solidFill>
                <a:srgbClr val="C38EB4"/>
              </a:solidFill>
              <a:ln w="19050">
                <a:solidFill>
                  <a:schemeClr val="lt1"/>
                </a:solidFill>
              </a:ln>
              <a:effectLst/>
            </c:spPr>
            <c:extLst>
              <c:ext xmlns:c16="http://schemas.microsoft.com/office/drawing/2014/chart" uri="{C3380CC4-5D6E-409C-BE32-E72D297353CC}">
                <c16:uniqueId val="{00000001-2FD1-45E1-9F45-C7377173EFF4}"/>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2FD1-45E1-9F45-C7377173EFF4}"/>
              </c:ext>
            </c:extLst>
          </c:dPt>
          <c:dPt>
            <c:idx val="2"/>
            <c:bubble3D val="0"/>
            <c:spPr>
              <a:solidFill>
                <a:srgbClr val="26425A"/>
              </a:solidFill>
              <a:ln w="19050">
                <a:solidFill>
                  <a:schemeClr val="lt1"/>
                </a:solidFill>
              </a:ln>
              <a:effectLst/>
            </c:spPr>
            <c:extLst>
              <c:ext xmlns:c16="http://schemas.microsoft.com/office/drawing/2014/chart" uri="{C3380CC4-5D6E-409C-BE32-E72D297353CC}">
                <c16:uniqueId val="{00000005-2FD1-45E1-9F45-C7377173EFF4}"/>
              </c:ext>
            </c:extLst>
          </c:dPt>
          <c:dPt>
            <c:idx val="3"/>
            <c:bubble3D val="0"/>
            <c:spPr>
              <a:solidFill>
                <a:srgbClr val="86A8CF"/>
              </a:solidFill>
              <a:ln w="19050">
                <a:solidFill>
                  <a:schemeClr val="lt1"/>
                </a:solidFill>
              </a:ln>
              <a:effectLst/>
            </c:spPr>
            <c:extLst>
              <c:ext xmlns:c16="http://schemas.microsoft.com/office/drawing/2014/chart" uri="{C3380CC4-5D6E-409C-BE32-E72D297353CC}">
                <c16:uniqueId val="{00000007-2FD1-45E1-9F45-C7377173EFF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26425A"/>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PIVOT!$A$17:$A$21</c:f>
              <c:strCache>
                <c:ptCount val="4"/>
                <c:pt idx="0">
                  <c:v>CRITICAL</c:v>
                </c:pt>
                <c:pt idx="1">
                  <c:v>EXPIRED</c:v>
                </c:pt>
                <c:pt idx="2">
                  <c:v>SAFE</c:v>
                </c:pt>
                <c:pt idx="3">
                  <c:v>WARNING</c:v>
                </c:pt>
              </c:strCache>
            </c:strRef>
          </c:cat>
          <c:val>
            <c:numRef>
              <c:f>PIVOT!$B$17:$B$21</c:f>
              <c:numCache>
                <c:formatCode>#,##0</c:formatCode>
                <c:ptCount val="4"/>
                <c:pt idx="0">
                  <c:v>9250</c:v>
                </c:pt>
                <c:pt idx="1">
                  <c:v>5050</c:v>
                </c:pt>
                <c:pt idx="2">
                  <c:v>48650</c:v>
                </c:pt>
                <c:pt idx="3">
                  <c:v>14900</c:v>
                </c:pt>
              </c:numCache>
            </c:numRef>
          </c:val>
          <c:extLst>
            <c:ext xmlns:c16="http://schemas.microsoft.com/office/drawing/2014/chart" uri="{C3380CC4-5D6E-409C-BE32-E72D297353CC}">
              <c16:uniqueId val="{00000008-2FD1-45E1-9F45-C7377173EFF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400" b="1" i="0" u="none" strike="noStrike" kern="1200" baseline="0">
              <a:solidFill>
                <a:srgbClr val="26425A"/>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[FIFO FEFO.xlsx]PIVOT!Pivot 4</c:name>
    <c:fmtId val="20"/>
  </c:pivotSource>
  <c:chart>
    <c:title>
      <c:tx>
        <c:rich>
          <a:bodyPr rot="0" spcFirstLastPara="1" vertOverflow="ellipsis" vert="horz" wrap="square" anchor="ctr" anchorCtr="1"/>
          <a:lstStyle/>
          <a:p>
            <a:pPr>
              <a:defRPr sz="2800" b="1" i="0" u="none" strike="noStrike" kern="1200" spc="0" baseline="0">
                <a:solidFill>
                  <a:srgbClr val="26425A"/>
                </a:solidFill>
                <a:latin typeface="+mn-lt"/>
                <a:ea typeface="+mn-ea"/>
                <a:cs typeface="+mn-cs"/>
              </a:defRPr>
            </a:pPr>
            <a:r>
              <a:rPr lang="en-US" sz="2800" b="1">
                <a:solidFill>
                  <a:srgbClr val="26425A"/>
                </a:solidFill>
              </a:rPr>
              <a:t>FEFO, Flash Sale &amp; Write-Off Distribution </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26425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6A8C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AB5A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C38EB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6425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FF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3509360805058"/>
          <c:y val="0.11891251825214494"/>
          <c:w val="0.78981746148981691"/>
          <c:h val="0.75066581404172361"/>
        </c:manualLayout>
      </c:layout>
      <c:barChart>
        <c:barDir val="bar"/>
        <c:grouping val="clustered"/>
        <c:varyColors val="0"/>
        <c:ser>
          <c:idx val="0"/>
          <c:order val="0"/>
          <c:tx>
            <c:strRef>
              <c:f>PIVOT!$B$25:$B$26</c:f>
              <c:strCache>
                <c:ptCount val="1"/>
                <c:pt idx="0">
                  <c:v>Cleanser</c:v>
                </c:pt>
              </c:strCache>
            </c:strRef>
          </c:tx>
          <c:spPr>
            <a:solidFill>
              <a:srgbClr val="86A8CF"/>
            </a:solidFill>
            <a:ln w="19050">
              <a:solidFill>
                <a:schemeClr val="lt1"/>
              </a:solidFill>
            </a:ln>
            <a:effectLst/>
          </c:spPr>
          <c:invertIfNegative val="0"/>
          <c:cat>
            <c:strRef>
              <c:f>PIVOT!$A$27:$A$30</c:f>
              <c:strCache>
                <c:ptCount val="4"/>
                <c:pt idx="0">
                  <c:v>FEFO PRIORITY</c:v>
                </c:pt>
                <c:pt idx="1">
                  <c:v>FlASH SALE </c:v>
                </c:pt>
                <c:pt idx="2">
                  <c:v>REGULAR SALES</c:v>
                </c:pt>
                <c:pt idx="3">
                  <c:v>WRITE-OFF</c:v>
                </c:pt>
              </c:strCache>
            </c:strRef>
          </c:cat>
          <c:val>
            <c:numRef>
              <c:f>PIVOT!$B$27:$B$30</c:f>
              <c:numCache>
                <c:formatCode>#,##0</c:formatCode>
                <c:ptCount val="4"/>
                <c:pt idx="0">
                  <c:v>1300</c:v>
                </c:pt>
                <c:pt idx="1">
                  <c:v>2400</c:v>
                </c:pt>
                <c:pt idx="2">
                  <c:v>12100</c:v>
                </c:pt>
                <c:pt idx="3">
                  <c:v>2000</c:v>
                </c:pt>
              </c:numCache>
            </c:numRef>
          </c:val>
          <c:extLst>
            <c:ext xmlns:c16="http://schemas.microsoft.com/office/drawing/2014/chart" uri="{C3380CC4-5D6E-409C-BE32-E72D297353CC}">
              <c16:uniqueId val="{00000000-4487-473C-B9EF-663AA4C03FB4}"/>
            </c:ext>
          </c:extLst>
        </c:ser>
        <c:ser>
          <c:idx val="1"/>
          <c:order val="1"/>
          <c:tx>
            <c:strRef>
              <c:f>PIVOT!$C$25:$C$26</c:f>
              <c:strCache>
                <c:ptCount val="1"/>
                <c:pt idx="0">
                  <c:v>Makeup</c:v>
                </c:pt>
              </c:strCache>
            </c:strRef>
          </c:tx>
          <c:spPr>
            <a:solidFill>
              <a:schemeClr val="accent2"/>
            </a:solidFill>
            <a:ln w="19050">
              <a:solidFill>
                <a:schemeClr val="lt1"/>
              </a:solidFill>
            </a:ln>
            <a:effectLst/>
          </c:spPr>
          <c:invertIfNegative val="0"/>
          <c:cat>
            <c:strRef>
              <c:f>PIVOT!$A$27:$A$30</c:f>
              <c:strCache>
                <c:ptCount val="4"/>
                <c:pt idx="0">
                  <c:v>FEFO PRIORITY</c:v>
                </c:pt>
                <c:pt idx="1">
                  <c:v>FlASH SALE </c:v>
                </c:pt>
                <c:pt idx="2">
                  <c:v>REGULAR SALES</c:v>
                </c:pt>
                <c:pt idx="3">
                  <c:v>WRITE-OFF</c:v>
                </c:pt>
              </c:strCache>
            </c:strRef>
          </c:cat>
          <c:val>
            <c:numRef>
              <c:f>PIVOT!$C$27:$C$30</c:f>
              <c:numCache>
                <c:formatCode>#,##0</c:formatCode>
                <c:ptCount val="4"/>
                <c:pt idx="0">
                  <c:v>1800</c:v>
                </c:pt>
                <c:pt idx="1">
                  <c:v>1800</c:v>
                </c:pt>
                <c:pt idx="2">
                  <c:v>6550</c:v>
                </c:pt>
                <c:pt idx="3">
                  <c:v>450</c:v>
                </c:pt>
              </c:numCache>
            </c:numRef>
          </c:val>
          <c:extLst>
            <c:ext xmlns:c16="http://schemas.microsoft.com/office/drawing/2014/chart" uri="{C3380CC4-5D6E-409C-BE32-E72D297353CC}">
              <c16:uniqueId val="{00000006-61AB-407E-B27B-5A6C6C0B8A2F}"/>
            </c:ext>
          </c:extLst>
        </c:ser>
        <c:ser>
          <c:idx val="2"/>
          <c:order val="2"/>
          <c:tx>
            <c:strRef>
              <c:f>PIVOT!$D$25:$D$26</c:f>
              <c:strCache>
                <c:ptCount val="1"/>
                <c:pt idx="0">
                  <c:v>Moisturizer</c:v>
                </c:pt>
              </c:strCache>
            </c:strRef>
          </c:tx>
          <c:spPr>
            <a:solidFill>
              <a:srgbClr val="9AB5AE"/>
            </a:solidFill>
            <a:ln w="19050">
              <a:solidFill>
                <a:schemeClr val="lt1"/>
              </a:solidFill>
            </a:ln>
            <a:effectLst/>
          </c:spPr>
          <c:invertIfNegative val="0"/>
          <c:cat>
            <c:strRef>
              <c:f>PIVOT!$A$27:$A$30</c:f>
              <c:strCache>
                <c:ptCount val="4"/>
                <c:pt idx="0">
                  <c:v>FEFO PRIORITY</c:v>
                </c:pt>
                <c:pt idx="1">
                  <c:v>FlASH SALE </c:v>
                </c:pt>
                <c:pt idx="2">
                  <c:v>REGULAR SALES</c:v>
                </c:pt>
                <c:pt idx="3">
                  <c:v>WRITE-OFF</c:v>
                </c:pt>
              </c:strCache>
            </c:strRef>
          </c:cat>
          <c:val>
            <c:numRef>
              <c:f>PIVOT!$D$27:$D$30</c:f>
              <c:numCache>
                <c:formatCode>#,##0</c:formatCode>
                <c:ptCount val="4"/>
                <c:pt idx="0">
                  <c:v>1100</c:v>
                </c:pt>
                <c:pt idx="1">
                  <c:v>3500</c:v>
                </c:pt>
                <c:pt idx="2">
                  <c:v>9900</c:v>
                </c:pt>
                <c:pt idx="3">
                  <c:v>300</c:v>
                </c:pt>
              </c:numCache>
            </c:numRef>
          </c:val>
          <c:extLst>
            <c:ext xmlns:c16="http://schemas.microsoft.com/office/drawing/2014/chart" uri="{C3380CC4-5D6E-409C-BE32-E72D297353CC}">
              <c16:uniqueId val="{00000007-61AB-407E-B27B-5A6C6C0B8A2F}"/>
            </c:ext>
          </c:extLst>
        </c:ser>
        <c:ser>
          <c:idx val="3"/>
          <c:order val="3"/>
          <c:tx>
            <c:strRef>
              <c:f>PIVOT!$E$25:$E$26</c:f>
              <c:strCache>
                <c:ptCount val="1"/>
                <c:pt idx="0">
                  <c:v>Serum</c:v>
                </c:pt>
              </c:strCache>
            </c:strRef>
          </c:tx>
          <c:spPr>
            <a:solidFill>
              <a:srgbClr val="C38EB4"/>
            </a:solidFill>
            <a:ln w="19050">
              <a:solidFill>
                <a:schemeClr val="lt1"/>
              </a:solidFill>
            </a:ln>
            <a:effectLst/>
          </c:spPr>
          <c:invertIfNegative val="0"/>
          <c:cat>
            <c:strRef>
              <c:f>PIVOT!$A$27:$A$30</c:f>
              <c:strCache>
                <c:ptCount val="4"/>
                <c:pt idx="0">
                  <c:v>FEFO PRIORITY</c:v>
                </c:pt>
                <c:pt idx="1">
                  <c:v>FlASH SALE </c:v>
                </c:pt>
                <c:pt idx="2">
                  <c:v>REGULAR SALES</c:v>
                </c:pt>
                <c:pt idx="3">
                  <c:v>WRITE-OFF</c:v>
                </c:pt>
              </c:strCache>
            </c:strRef>
          </c:cat>
          <c:val>
            <c:numRef>
              <c:f>PIVOT!$E$27:$E$30</c:f>
              <c:numCache>
                <c:formatCode>#,##0</c:formatCode>
                <c:ptCount val="4"/>
                <c:pt idx="0">
                  <c:v>700</c:v>
                </c:pt>
                <c:pt idx="1">
                  <c:v>1000</c:v>
                </c:pt>
                <c:pt idx="2">
                  <c:v>8300</c:v>
                </c:pt>
                <c:pt idx="3">
                  <c:v>800</c:v>
                </c:pt>
              </c:numCache>
            </c:numRef>
          </c:val>
          <c:extLst>
            <c:ext xmlns:c16="http://schemas.microsoft.com/office/drawing/2014/chart" uri="{C3380CC4-5D6E-409C-BE32-E72D297353CC}">
              <c16:uniqueId val="{00000008-61AB-407E-B27B-5A6C6C0B8A2F}"/>
            </c:ext>
          </c:extLst>
        </c:ser>
        <c:ser>
          <c:idx val="4"/>
          <c:order val="4"/>
          <c:tx>
            <c:strRef>
              <c:f>PIVOT!$F$25:$F$26</c:f>
              <c:strCache>
                <c:ptCount val="1"/>
                <c:pt idx="0">
                  <c:v>Sunscreen</c:v>
                </c:pt>
              </c:strCache>
            </c:strRef>
          </c:tx>
          <c:spPr>
            <a:solidFill>
              <a:srgbClr val="26425A"/>
            </a:solidFill>
            <a:ln w="19050">
              <a:solidFill>
                <a:schemeClr val="lt1"/>
              </a:solidFill>
            </a:ln>
            <a:effectLst/>
          </c:spPr>
          <c:invertIfNegative val="0"/>
          <c:cat>
            <c:strRef>
              <c:f>PIVOT!$A$27:$A$30</c:f>
              <c:strCache>
                <c:ptCount val="4"/>
                <c:pt idx="0">
                  <c:v>FEFO PRIORITY</c:v>
                </c:pt>
                <c:pt idx="1">
                  <c:v>FlASH SALE </c:v>
                </c:pt>
                <c:pt idx="2">
                  <c:v>REGULAR SALES</c:v>
                </c:pt>
                <c:pt idx="3">
                  <c:v>WRITE-OFF</c:v>
                </c:pt>
              </c:strCache>
            </c:strRef>
          </c:cat>
          <c:val>
            <c:numRef>
              <c:f>PIVOT!$F$27:$F$30</c:f>
              <c:numCache>
                <c:formatCode>#,##0</c:formatCode>
                <c:ptCount val="4"/>
                <c:pt idx="0">
                  <c:v>1850</c:v>
                </c:pt>
                <c:pt idx="1">
                  <c:v>1600</c:v>
                </c:pt>
                <c:pt idx="2">
                  <c:v>3350</c:v>
                </c:pt>
                <c:pt idx="3">
                  <c:v>200</c:v>
                </c:pt>
              </c:numCache>
            </c:numRef>
          </c:val>
          <c:extLst>
            <c:ext xmlns:c16="http://schemas.microsoft.com/office/drawing/2014/chart" uri="{C3380CC4-5D6E-409C-BE32-E72D297353CC}">
              <c16:uniqueId val="{00000009-61AB-407E-B27B-5A6C6C0B8A2F}"/>
            </c:ext>
          </c:extLst>
        </c:ser>
        <c:ser>
          <c:idx val="5"/>
          <c:order val="5"/>
          <c:tx>
            <c:strRef>
              <c:f>PIVOT!$G$25:$G$26</c:f>
              <c:strCache>
                <c:ptCount val="1"/>
                <c:pt idx="0">
                  <c:v>Toner</c:v>
                </c:pt>
              </c:strCache>
            </c:strRef>
          </c:tx>
          <c:spPr>
            <a:solidFill>
              <a:srgbClr val="FFFFFF"/>
            </a:solidFill>
            <a:ln w="19050">
              <a:solidFill>
                <a:schemeClr val="lt1"/>
              </a:solidFill>
            </a:ln>
            <a:effectLst/>
          </c:spPr>
          <c:invertIfNegative val="0"/>
          <c:cat>
            <c:strRef>
              <c:f>PIVOT!$A$27:$A$30</c:f>
              <c:strCache>
                <c:ptCount val="4"/>
                <c:pt idx="0">
                  <c:v>FEFO PRIORITY</c:v>
                </c:pt>
                <c:pt idx="1">
                  <c:v>FlASH SALE </c:v>
                </c:pt>
                <c:pt idx="2">
                  <c:v>REGULAR SALES</c:v>
                </c:pt>
                <c:pt idx="3">
                  <c:v>WRITE-OFF</c:v>
                </c:pt>
              </c:strCache>
            </c:strRef>
          </c:cat>
          <c:val>
            <c:numRef>
              <c:f>PIVOT!$G$27:$G$30</c:f>
              <c:numCache>
                <c:formatCode>#,##0</c:formatCode>
                <c:ptCount val="4"/>
                <c:pt idx="0">
                  <c:v>2500</c:v>
                </c:pt>
                <c:pt idx="1">
                  <c:v>4600</c:v>
                </c:pt>
                <c:pt idx="2">
                  <c:v>8450</c:v>
                </c:pt>
                <c:pt idx="3">
                  <c:v>1300</c:v>
                </c:pt>
              </c:numCache>
            </c:numRef>
          </c:val>
          <c:extLst>
            <c:ext xmlns:c16="http://schemas.microsoft.com/office/drawing/2014/chart" uri="{C3380CC4-5D6E-409C-BE32-E72D297353CC}">
              <c16:uniqueId val="{0000000A-61AB-407E-B27B-5A6C6C0B8A2F}"/>
            </c:ext>
          </c:extLst>
        </c:ser>
        <c:dLbls>
          <c:showLegendKey val="0"/>
          <c:showVal val="0"/>
          <c:showCatName val="0"/>
          <c:showSerName val="0"/>
          <c:showPercent val="0"/>
          <c:showBubbleSize val="0"/>
        </c:dLbls>
        <c:gapWidth val="150"/>
        <c:axId val="591513711"/>
        <c:axId val="591517071"/>
      </c:barChart>
      <c:catAx>
        <c:axId val="591513711"/>
        <c:scaling>
          <c:orientation val="minMax"/>
        </c:scaling>
        <c:delete val="0"/>
        <c:axPos val="l"/>
        <c:title>
          <c:tx>
            <c:rich>
              <a:bodyPr rot="-5400000" spcFirstLastPara="1" vertOverflow="ellipsis" vert="horz" wrap="square" anchor="ctr" anchorCtr="1"/>
              <a:lstStyle/>
              <a:p>
                <a:pPr>
                  <a:defRPr sz="1400" b="1" i="0" u="none" strike="noStrike" kern="1200" baseline="0">
                    <a:solidFill>
                      <a:srgbClr val="26425A"/>
                    </a:solidFill>
                    <a:latin typeface="+mn-lt"/>
                    <a:ea typeface="+mn-ea"/>
                    <a:cs typeface="+mn-cs"/>
                  </a:defRPr>
                </a:pPr>
                <a:r>
                  <a:rPr lang="en-US" sz="1400" b="1">
                    <a:solidFill>
                      <a:srgbClr val="26425A"/>
                    </a:solidFill>
                  </a:rPr>
                  <a:t>Action</a:t>
                </a:r>
              </a:p>
            </c:rich>
          </c:tx>
          <c:overlay val="0"/>
          <c:spPr>
            <a:noFill/>
            <a:ln>
              <a:noFill/>
            </a:ln>
            <a:effectLst/>
          </c:spPr>
          <c:txPr>
            <a:bodyPr rot="-5400000" spcFirstLastPara="1" vertOverflow="ellipsis" vert="horz" wrap="square" anchor="ctr" anchorCtr="1"/>
            <a:lstStyle/>
            <a:p>
              <a:pPr>
                <a:defRPr sz="1400" b="1" i="0" u="none" strike="noStrike" kern="1200" baseline="0">
                  <a:solidFill>
                    <a:srgbClr val="26425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26425A"/>
                </a:solidFill>
                <a:latin typeface="+mn-lt"/>
                <a:ea typeface="+mn-ea"/>
                <a:cs typeface="+mn-cs"/>
              </a:defRPr>
            </a:pPr>
            <a:endParaRPr lang="en-US"/>
          </a:p>
        </c:txPr>
        <c:crossAx val="591517071"/>
        <c:crosses val="autoZero"/>
        <c:auto val="1"/>
        <c:lblAlgn val="ctr"/>
        <c:lblOffset val="100"/>
        <c:noMultiLvlLbl val="0"/>
      </c:catAx>
      <c:valAx>
        <c:axId val="591517071"/>
        <c:scaling>
          <c:orientation val="minMax"/>
        </c:scaling>
        <c:delete val="0"/>
        <c:axPos val="b"/>
        <c:majorGridlines>
          <c:spPr>
            <a:ln w="22225" cap="flat" cmpd="sng" algn="ctr">
              <a:solidFill>
                <a:schemeClr val="bg1"/>
              </a:solidFill>
              <a:round/>
            </a:ln>
            <a:effectLst/>
          </c:spPr>
        </c:majorGridlines>
        <c:title>
          <c:tx>
            <c:rich>
              <a:bodyPr rot="0" spcFirstLastPara="1" vertOverflow="ellipsis" vert="horz" wrap="square" anchor="ctr" anchorCtr="1"/>
              <a:lstStyle/>
              <a:p>
                <a:pPr>
                  <a:defRPr sz="1600" b="1" i="0" u="none" strike="noStrike" kern="1200" baseline="0">
                    <a:solidFill>
                      <a:srgbClr val="26425A"/>
                    </a:solidFill>
                    <a:latin typeface="+mn-lt"/>
                    <a:ea typeface="+mn-ea"/>
                    <a:cs typeface="+mn-cs"/>
                  </a:defRPr>
                </a:pPr>
                <a:r>
                  <a:rPr lang="en-US" sz="1600" b="1">
                    <a:solidFill>
                      <a:srgbClr val="26425A"/>
                    </a:solidFill>
                  </a:rPr>
                  <a:t>Quantity</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26425A"/>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rgbClr val="26425A"/>
                </a:solidFill>
                <a:latin typeface="+mn-lt"/>
                <a:ea typeface="+mn-ea"/>
                <a:cs typeface="+mn-cs"/>
              </a:defRPr>
            </a:pPr>
            <a:endParaRPr lang="en-US"/>
          </a:p>
        </c:txPr>
        <c:crossAx val="59151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1" i="0" u="none" strike="noStrike" kern="1200" baseline="0">
              <a:solidFill>
                <a:srgbClr val="26425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[FIFO FEFO.xlsx]PIVOT!Pivot 6</c:name>
    <c:fmtId val="6"/>
  </c:pivotSource>
  <c:chart>
    <c:title>
      <c:tx>
        <c:rich>
          <a:bodyPr rot="0" spcFirstLastPara="1" vertOverflow="ellipsis" vert="horz" wrap="square" anchor="ctr" anchorCtr="1"/>
          <a:lstStyle/>
          <a:p>
            <a:pPr>
              <a:defRPr sz="2400" b="1" i="0" u="none" strike="noStrike" kern="1200" spc="0" baseline="0">
                <a:solidFill>
                  <a:srgbClr val="26425A"/>
                </a:solidFill>
                <a:latin typeface="+mn-lt"/>
                <a:ea typeface="+mn-ea"/>
                <a:cs typeface="+mn-cs"/>
              </a:defRPr>
            </a:pPr>
            <a:r>
              <a:rPr lang="en-US" sz="2400" b="1" baseline="0">
                <a:solidFill>
                  <a:srgbClr val="26425A"/>
                </a:solidFill>
              </a:rPr>
              <a:t>Top 5 Products by Financial Risk Exposure</a:t>
            </a:r>
            <a:endParaRPr lang="en-US" sz="2400" b="1">
              <a:solidFill>
                <a:srgbClr val="26425A"/>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26425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6425A"/>
          </a:solidFill>
          <a:ln>
            <a:noFill/>
          </a:ln>
          <a:effectLst/>
        </c:spPr>
      </c:pivotFmt>
      <c:pivotFmt>
        <c:idx val="6"/>
        <c:spPr>
          <a:solidFill>
            <a:srgbClr val="86A8CF"/>
          </a:solidFill>
          <a:ln>
            <a:noFill/>
          </a:ln>
          <a:effectLst/>
        </c:spPr>
      </c:pivotFmt>
      <c:pivotFmt>
        <c:idx val="7"/>
        <c:spPr>
          <a:solidFill>
            <a:srgbClr val="002060"/>
          </a:solidFill>
          <a:ln>
            <a:noFill/>
          </a:ln>
          <a:effectLst/>
        </c:spPr>
      </c:pivotFmt>
      <c:pivotFmt>
        <c:idx val="8"/>
        <c:spPr>
          <a:solidFill>
            <a:srgbClr val="C38EB4"/>
          </a:solidFill>
          <a:ln>
            <a:noFill/>
          </a:ln>
          <a:effectLst/>
        </c:spPr>
      </c:pivotFmt>
      <c:pivotFmt>
        <c:idx val="9"/>
        <c:spPr>
          <a:solidFill>
            <a:schemeClr val="bg1"/>
          </a:solidFill>
          <a:ln>
            <a:noFill/>
          </a:ln>
          <a:effectLst/>
        </c:spPr>
      </c:pivotFmt>
    </c:pivotFmts>
    <c:plotArea>
      <c:layout>
        <c:manualLayout>
          <c:layoutTarget val="inner"/>
          <c:xMode val="edge"/>
          <c:yMode val="edge"/>
          <c:x val="0.16094883315116329"/>
          <c:y val="0.16204744763349321"/>
          <c:w val="0.71655979162762395"/>
          <c:h val="0.62958822461252528"/>
        </c:manualLayout>
      </c:layout>
      <c:barChart>
        <c:barDir val="col"/>
        <c:grouping val="clustered"/>
        <c:varyColors val="1"/>
        <c:ser>
          <c:idx val="0"/>
          <c:order val="0"/>
          <c:tx>
            <c:strRef>
              <c:f>PIVOT!$B$37</c:f>
              <c:strCache>
                <c:ptCount val="1"/>
                <c:pt idx="0">
                  <c:v>Total</c:v>
                </c:pt>
              </c:strCache>
            </c:strRef>
          </c:tx>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3-D16A-4169-887E-12FE0226F8FD}"/>
              </c:ext>
            </c:extLst>
          </c:dPt>
          <c:dPt>
            <c:idx val="1"/>
            <c:invertIfNegative val="0"/>
            <c:bubble3D val="0"/>
            <c:spPr>
              <a:solidFill>
                <a:srgbClr val="26425A"/>
              </a:solidFill>
              <a:ln>
                <a:noFill/>
              </a:ln>
              <a:effectLst/>
            </c:spPr>
            <c:extLst>
              <c:ext xmlns:c16="http://schemas.microsoft.com/office/drawing/2014/chart" uri="{C3380CC4-5D6E-409C-BE32-E72D297353CC}">
                <c16:uniqueId val="{00000001-D16A-4169-887E-12FE0226F8FD}"/>
              </c:ext>
            </c:extLst>
          </c:dPt>
          <c:dPt>
            <c:idx val="2"/>
            <c:invertIfNegative val="0"/>
            <c:bubble3D val="0"/>
            <c:spPr>
              <a:solidFill>
                <a:srgbClr val="86A8CF"/>
              </a:solidFill>
              <a:ln>
                <a:noFill/>
              </a:ln>
              <a:effectLst/>
            </c:spPr>
            <c:extLst>
              <c:ext xmlns:c16="http://schemas.microsoft.com/office/drawing/2014/chart" uri="{C3380CC4-5D6E-409C-BE32-E72D297353CC}">
                <c16:uniqueId val="{00000002-D16A-4169-887E-12FE0226F8FD}"/>
              </c:ext>
            </c:extLst>
          </c:dPt>
          <c:dPt>
            <c:idx val="3"/>
            <c:invertIfNegative val="0"/>
            <c:bubble3D val="0"/>
            <c:spPr>
              <a:solidFill>
                <a:srgbClr val="C38EB4"/>
              </a:solidFill>
              <a:ln>
                <a:noFill/>
              </a:ln>
              <a:effectLst/>
            </c:spPr>
            <c:extLst>
              <c:ext xmlns:c16="http://schemas.microsoft.com/office/drawing/2014/chart" uri="{C3380CC4-5D6E-409C-BE32-E72D297353CC}">
                <c16:uniqueId val="{00000004-D16A-4169-887E-12FE0226F8FD}"/>
              </c:ext>
            </c:extLst>
          </c:dPt>
          <c:dPt>
            <c:idx val="4"/>
            <c:invertIfNegative val="0"/>
            <c:bubble3D val="0"/>
            <c:spPr>
              <a:solidFill>
                <a:schemeClr val="bg1"/>
              </a:solidFill>
              <a:ln>
                <a:noFill/>
              </a:ln>
              <a:effectLst/>
            </c:spPr>
            <c:extLst>
              <c:ext xmlns:c16="http://schemas.microsoft.com/office/drawing/2014/chart" uri="{C3380CC4-5D6E-409C-BE32-E72D297353CC}">
                <c16:uniqueId val="{00000005-D16A-4169-887E-12FE0226F8FD}"/>
              </c:ext>
            </c:extLst>
          </c:dPt>
          <c:cat>
            <c:strRef>
              <c:f>PIVOT!$A$38:$A$42</c:f>
              <c:strCache>
                <c:ptCount val="5"/>
                <c:pt idx="0">
                  <c:v>Coverage Cushion Foundation</c:v>
                </c:pt>
                <c:pt idx="1">
                  <c:v>Centella Asiatica Soothing Essence</c:v>
                </c:pt>
                <c:pt idx="2">
                  <c:v>Sunscreen SPF 50 PA+++</c:v>
                </c:pt>
                <c:pt idx="3">
                  <c:v>AHA/BHA Exfoliating Toner 150ml</c:v>
                </c:pt>
                <c:pt idx="4">
                  <c:v>Niacinamide Serum 30ml</c:v>
                </c:pt>
              </c:strCache>
            </c:strRef>
          </c:cat>
          <c:val>
            <c:numRef>
              <c:f>PIVOT!$B$38:$B$42</c:f>
              <c:numCache>
                <c:formatCode>"Rp"#,##0;\("Rp"#,##0\);\-</c:formatCode>
                <c:ptCount val="5"/>
                <c:pt idx="0">
                  <c:v>138750000</c:v>
                </c:pt>
                <c:pt idx="1">
                  <c:v>133750000</c:v>
                </c:pt>
                <c:pt idx="2">
                  <c:v>120250000</c:v>
                </c:pt>
                <c:pt idx="3">
                  <c:v>74200000</c:v>
                </c:pt>
                <c:pt idx="4">
                  <c:v>73400000</c:v>
                </c:pt>
              </c:numCache>
            </c:numRef>
          </c:val>
          <c:extLst>
            <c:ext xmlns:c16="http://schemas.microsoft.com/office/drawing/2014/chart" uri="{C3380CC4-5D6E-409C-BE32-E72D297353CC}">
              <c16:uniqueId val="{00000000-D4C2-48EC-ABAD-A5DDA2511340}"/>
            </c:ext>
          </c:extLst>
        </c:ser>
        <c:dLbls>
          <c:showLegendKey val="0"/>
          <c:showVal val="0"/>
          <c:showCatName val="0"/>
          <c:showSerName val="0"/>
          <c:showPercent val="0"/>
          <c:showBubbleSize val="0"/>
        </c:dLbls>
        <c:gapWidth val="219"/>
        <c:overlap val="-27"/>
        <c:axId val="1384699456"/>
        <c:axId val="1384701376"/>
      </c:barChart>
      <c:catAx>
        <c:axId val="1384699456"/>
        <c:scaling>
          <c:orientation val="minMax"/>
        </c:scaling>
        <c:delete val="0"/>
        <c:axPos val="b"/>
        <c:title>
          <c:tx>
            <c:rich>
              <a:bodyPr rot="0" spcFirstLastPara="1" vertOverflow="ellipsis" vert="horz" wrap="square" anchor="ctr" anchorCtr="1"/>
              <a:lstStyle/>
              <a:p>
                <a:pPr>
                  <a:defRPr sz="1600" b="1" i="0" u="none" strike="noStrike" kern="1200" baseline="0">
                    <a:solidFill>
                      <a:srgbClr val="26425A"/>
                    </a:solidFill>
                    <a:latin typeface="+mn-lt"/>
                    <a:ea typeface="+mn-ea"/>
                    <a:cs typeface="+mn-cs"/>
                  </a:defRPr>
                </a:pPr>
                <a:r>
                  <a:rPr lang="en-US" sz="1600" b="1">
                    <a:solidFill>
                      <a:srgbClr val="26425A"/>
                    </a:solidFill>
                  </a:rPr>
                  <a:t>Product</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26425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26425A"/>
                </a:solidFill>
                <a:latin typeface="+mn-lt"/>
                <a:ea typeface="+mn-ea"/>
                <a:cs typeface="+mn-cs"/>
              </a:defRPr>
            </a:pPr>
            <a:endParaRPr lang="en-US"/>
          </a:p>
        </c:txPr>
        <c:crossAx val="1384701376"/>
        <c:crosses val="autoZero"/>
        <c:auto val="1"/>
        <c:lblAlgn val="ctr"/>
        <c:lblOffset val="100"/>
        <c:noMultiLvlLbl val="0"/>
      </c:catAx>
      <c:valAx>
        <c:axId val="1384701376"/>
        <c:scaling>
          <c:orientation val="minMax"/>
        </c:scaling>
        <c:delete val="0"/>
        <c:axPos val="l"/>
        <c:majorGridlines>
          <c:spPr>
            <a:ln w="22225" cap="flat" cmpd="sng" algn="ctr">
              <a:solidFill>
                <a:schemeClr val="bg1"/>
              </a:solidFill>
              <a:round/>
            </a:ln>
            <a:effectLst/>
          </c:spPr>
        </c:majorGridlines>
        <c:numFmt formatCode="&quot;Rp&quot;#,##0;\(&quot;Rp&quot;#,##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26425A"/>
                </a:solidFill>
                <a:latin typeface="+mn-lt"/>
                <a:ea typeface="+mn-ea"/>
                <a:cs typeface="+mn-cs"/>
              </a:defRPr>
            </a:pPr>
            <a:endParaRPr lang="en-US"/>
          </a:p>
        </c:txPr>
        <c:crossAx val="138469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[FIFO FEFO.xlsx]PIVOT!Pivot 7</c:name>
    <c:fmtId val="8"/>
  </c:pivotSource>
  <c:chart>
    <c:title>
      <c:tx>
        <c:rich>
          <a:bodyPr rot="0" spcFirstLastPara="1" vertOverflow="ellipsis" vert="horz" wrap="square" anchor="ctr" anchorCtr="1"/>
          <a:lstStyle/>
          <a:p>
            <a:pPr>
              <a:defRPr sz="2800" b="1" i="0" u="none" strike="noStrike" kern="1200" spc="0" baseline="0">
                <a:solidFill>
                  <a:srgbClr val="26425A"/>
                </a:solidFill>
                <a:latin typeface="+mn-lt"/>
                <a:ea typeface="+mn-ea"/>
                <a:cs typeface="+mn-cs"/>
              </a:defRPr>
            </a:pPr>
            <a:r>
              <a:rPr lang="en-US" sz="2800"/>
              <a:t>Top 5 Products by Ending Inventory Value </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26425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642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6425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6377064829822"/>
          <c:y val="0.11212399614168415"/>
          <c:w val="0.62298609427819662"/>
          <c:h val="0.80112426242100487"/>
        </c:manualLayout>
      </c:layout>
      <c:barChart>
        <c:barDir val="bar"/>
        <c:grouping val="clustered"/>
        <c:varyColors val="0"/>
        <c:ser>
          <c:idx val="0"/>
          <c:order val="0"/>
          <c:tx>
            <c:strRef>
              <c:f>PIVOT!$B$46</c:f>
              <c:strCache>
                <c:ptCount val="1"/>
                <c:pt idx="0">
                  <c:v>Total</c:v>
                </c:pt>
              </c:strCache>
            </c:strRef>
          </c:tx>
          <c:spPr>
            <a:solidFill>
              <a:srgbClr val="26425A"/>
            </a:solidFill>
            <a:ln>
              <a:noFill/>
            </a:ln>
            <a:effectLst/>
          </c:spPr>
          <c:invertIfNegative val="0"/>
          <c:cat>
            <c:strRef>
              <c:f>PIVOT!$A$47:$A$51</c:f>
              <c:strCache>
                <c:ptCount val="5"/>
                <c:pt idx="0">
                  <c:v>Centella Asiatica Soothing Essence</c:v>
                </c:pt>
                <c:pt idx="1">
                  <c:v>Retinol Night Cream 30g</c:v>
                </c:pt>
                <c:pt idx="2">
                  <c:v>Niacinamide Serum 30ml</c:v>
                </c:pt>
                <c:pt idx="3">
                  <c:v>Coverage Cushion Foundation</c:v>
                </c:pt>
                <c:pt idx="4">
                  <c:v>Vitamin C Cleanser 100ml</c:v>
                </c:pt>
              </c:strCache>
            </c:strRef>
          </c:cat>
          <c:val>
            <c:numRef>
              <c:f>PIVOT!$B$47:$B$51</c:f>
              <c:numCache>
                <c:formatCode>[$Rp-421]#,##0</c:formatCode>
                <c:ptCount val="5"/>
                <c:pt idx="0">
                  <c:v>680600000</c:v>
                </c:pt>
                <c:pt idx="1">
                  <c:v>680300000</c:v>
                </c:pt>
                <c:pt idx="2">
                  <c:v>527050000</c:v>
                </c:pt>
                <c:pt idx="3">
                  <c:v>478950000</c:v>
                </c:pt>
                <c:pt idx="4">
                  <c:v>438900000</c:v>
                </c:pt>
              </c:numCache>
            </c:numRef>
          </c:val>
          <c:extLst>
            <c:ext xmlns:c16="http://schemas.microsoft.com/office/drawing/2014/chart" uri="{C3380CC4-5D6E-409C-BE32-E72D297353CC}">
              <c16:uniqueId val="{00000000-CCCA-4A44-A1B3-921E0E337441}"/>
            </c:ext>
          </c:extLst>
        </c:ser>
        <c:dLbls>
          <c:showLegendKey val="0"/>
          <c:showVal val="0"/>
          <c:showCatName val="0"/>
          <c:showSerName val="0"/>
          <c:showPercent val="0"/>
          <c:showBubbleSize val="0"/>
        </c:dLbls>
        <c:gapWidth val="182"/>
        <c:axId val="1384696096"/>
        <c:axId val="843129312"/>
      </c:barChart>
      <c:catAx>
        <c:axId val="138469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26425A"/>
                </a:solidFill>
                <a:latin typeface="+mn-lt"/>
                <a:ea typeface="+mn-ea"/>
                <a:cs typeface="+mn-cs"/>
              </a:defRPr>
            </a:pPr>
            <a:endParaRPr lang="en-US"/>
          </a:p>
        </c:txPr>
        <c:crossAx val="843129312"/>
        <c:crosses val="autoZero"/>
        <c:auto val="1"/>
        <c:lblAlgn val="ctr"/>
        <c:lblOffset val="100"/>
        <c:noMultiLvlLbl val="0"/>
      </c:catAx>
      <c:valAx>
        <c:axId val="843129312"/>
        <c:scaling>
          <c:orientation val="minMax"/>
        </c:scaling>
        <c:delete val="0"/>
        <c:axPos val="b"/>
        <c:majorGridlines>
          <c:spPr>
            <a:ln w="9525" cap="flat" cmpd="sng" algn="ctr">
              <a:solidFill>
                <a:schemeClr val="bg1"/>
              </a:solidFill>
              <a:round/>
            </a:ln>
            <a:effectLst/>
          </c:spPr>
        </c:majorGridlines>
        <c:numFmt formatCode="[$Rp-421]#,##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26425A"/>
                </a:solidFill>
                <a:latin typeface="+mn-lt"/>
                <a:ea typeface="+mn-ea"/>
                <a:cs typeface="+mn-cs"/>
              </a:defRPr>
            </a:pPr>
            <a:endParaRPr lang="en-US"/>
          </a:p>
        </c:txPr>
        <c:crossAx val="138469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rgbClr val="26425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b="1">
          <a:solidFill>
            <a:srgbClr val="26425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[FIFO FEFO.xlsx]PIVOT!Last Pivot</c:name>
    <c:fmtId val="2"/>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1" i="0" u="none" strike="noStrike" baseline="0">
                <a:solidFill>
                  <a:srgbClr val="26425A"/>
                </a:solidFill>
              </a:rPr>
              <a:t>Critical Expiry Timeline (30 Days Threshold) </a:t>
            </a:r>
            <a:endParaRPr lang="en-US" sz="2800" b="1">
              <a:solidFill>
                <a:srgbClr val="26425A"/>
              </a:solidFill>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PIVOT!$L$16</c:f>
              <c:strCache>
                <c:ptCount val="1"/>
                <c:pt idx="0">
                  <c:v>Total</c:v>
                </c:pt>
              </c:strCache>
            </c:strRef>
          </c:tx>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PIVOT!$K$17:$K$23</c:f>
              <c:strCache>
                <c:ptCount val="7"/>
                <c:pt idx="0">
                  <c:v>Retinol Night Cream 30g</c:v>
                </c:pt>
                <c:pt idx="1">
                  <c:v>Vitamin C Cleanser 100ml</c:v>
                </c:pt>
                <c:pt idx="2">
                  <c:v>Hyaluronic Acid Moisturizer 50g</c:v>
                </c:pt>
                <c:pt idx="3">
                  <c:v>AHA/BHA Exfoliating Toner 150ml</c:v>
                </c:pt>
                <c:pt idx="4">
                  <c:v>Coverage Cushion Foundation</c:v>
                </c:pt>
                <c:pt idx="5">
                  <c:v>Centella Asiatica Soothing Essence</c:v>
                </c:pt>
                <c:pt idx="6">
                  <c:v>Velvet Lip Tint 4g</c:v>
                </c:pt>
              </c:strCache>
            </c:strRef>
          </c:cat>
          <c:val>
            <c:numRef>
              <c:f>PIVOT!$L$17:$L$23</c:f>
              <c:numCache>
                <c:formatCode>0" days left";\-0" days ago";"0 days left"</c:formatCode>
                <c:ptCount val="7"/>
                <c:pt idx="0">
                  <c:v>29</c:v>
                </c:pt>
                <c:pt idx="1">
                  <c:v>29</c:v>
                </c:pt>
                <c:pt idx="2">
                  <c:v>28</c:v>
                </c:pt>
                <c:pt idx="3">
                  <c:v>9</c:v>
                </c:pt>
                <c:pt idx="4">
                  <c:v>5</c:v>
                </c:pt>
                <c:pt idx="5">
                  <c:v>5</c:v>
                </c:pt>
                <c:pt idx="6">
                  <c:v>1</c:v>
                </c:pt>
              </c:numCache>
            </c:numRef>
          </c:val>
          <c:extLst>
            <c:ext xmlns:c16="http://schemas.microsoft.com/office/drawing/2014/chart" uri="{C3380CC4-5D6E-409C-BE32-E72D297353CC}">
              <c16:uniqueId val="{00000000-F3A5-4E03-BF55-5AF4BA67E8CE}"/>
            </c:ext>
          </c:extLst>
        </c:ser>
        <c:dLbls>
          <c:dLblPos val="outEnd"/>
          <c:showLegendKey val="0"/>
          <c:showVal val="1"/>
          <c:showCatName val="0"/>
          <c:showSerName val="0"/>
          <c:showPercent val="0"/>
          <c:showBubbleSize val="0"/>
        </c:dLbls>
        <c:gapWidth val="182"/>
        <c:axId val="1130061152"/>
        <c:axId val="1130061632"/>
      </c:barChart>
      <c:catAx>
        <c:axId val="113006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26425A"/>
                </a:solidFill>
                <a:latin typeface="+mn-lt"/>
                <a:ea typeface="+mn-ea"/>
                <a:cs typeface="+mn-cs"/>
              </a:defRPr>
            </a:pPr>
            <a:endParaRPr lang="en-US"/>
          </a:p>
        </c:txPr>
        <c:crossAx val="1130061632"/>
        <c:crosses val="autoZero"/>
        <c:auto val="1"/>
        <c:lblAlgn val="ctr"/>
        <c:lblOffset val="100"/>
        <c:noMultiLvlLbl val="0"/>
      </c:catAx>
      <c:valAx>
        <c:axId val="1130061632"/>
        <c:scaling>
          <c:orientation val="minMax"/>
        </c:scaling>
        <c:delete val="1"/>
        <c:axPos val="b"/>
        <c:majorGridlines>
          <c:spPr>
            <a:ln w="9525" cap="flat" cmpd="sng" algn="ctr">
              <a:solidFill>
                <a:srgbClr val="FFFFFF"/>
              </a:solidFill>
              <a:round/>
            </a:ln>
            <a:effectLst/>
          </c:spPr>
        </c:majorGridlines>
        <c:numFmt formatCode="0&quot; days left&quot;;\-0&quot; days ago&quot;;&quot;0 days left&quot;" sourceLinked="1"/>
        <c:majorTickMark val="none"/>
        <c:minorTickMark val="none"/>
        <c:tickLblPos val="nextTo"/>
        <c:crossAx val="113006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354375</xdr:colOff>
      <xdr:row>13</xdr:row>
      <xdr:rowOff>53309</xdr:rowOff>
    </xdr:from>
    <xdr:to>
      <xdr:col>27</xdr:col>
      <xdr:colOff>121597</xdr:colOff>
      <xdr:row>42</xdr:row>
      <xdr:rowOff>16515</xdr:rowOff>
    </xdr:to>
    <xdr:graphicFrame macro="">
      <xdr:nvGraphicFramePr>
        <xdr:cNvPr id="2" name="Chart 1">
          <a:extLst>
            <a:ext uri="{FF2B5EF4-FFF2-40B4-BE49-F238E27FC236}">
              <a16:creationId xmlns:a16="http://schemas.microsoft.com/office/drawing/2014/main" id="{B20B7AD4-7AAE-4110-814B-72912F8C2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244572</xdr:colOff>
      <xdr:row>44</xdr:row>
      <xdr:rowOff>24498</xdr:rowOff>
    </xdr:from>
    <xdr:to>
      <xdr:col>29</xdr:col>
      <xdr:colOff>364787</xdr:colOff>
      <xdr:row>68</xdr:row>
      <xdr:rowOff>64943</xdr:rowOff>
    </xdr:to>
    <xdr:graphicFrame macro="">
      <xdr:nvGraphicFramePr>
        <xdr:cNvPr id="3" name="Chart 2">
          <a:extLst>
            <a:ext uri="{FF2B5EF4-FFF2-40B4-BE49-F238E27FC236}">
              <a16:creationId xmlns:a16="http://schemas.microsoft.com/office/drawing/2014/main" id="{D4991B26-9145-4D6A-9160-ED6EF3513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264993</xdr:colOff>
      <xdr:row>70</xdr:row>
      <xdr:rowOff>103492</xdr:rowOff>
    </xdr:from>
    <xdr:to>
      <xdr:col>41</xdr:col>
      <xdr:colOff>243192</xdr:colOff>
      <xdr:row>97</xdr:row>
      <xdr:rowOff>25670</xdr:rowOff>
    </xdr:to>
    <xdr:graphicFrame macro="">
      <xdr:nvGraphicFramePr>
        <xdr:cNvPr id="4" name="Chart 3">
          <a:extLst>
            <a:ext uri="{FF2B5EF4-FFF2-40B4-BE49-F238E27FC236}">
              <a16:creationId xmlns:a16="http://schemas.microsoft.com/office/drawing/2014/main" id="{D31DDF3B-6731-40C2-903A-08A4944B1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388100</xdr:colOff>
      <xdr:row>70</xdr:row>
      <xdr:rowOff>122421</xdr:rowOff>
    </xdr:from>
    <xdr:to>
      <xdr:col>26</xdr:col>
      <xdr:colOff>526915</xdr:colOff>
      <xdr:row>97</xdr:row>
      <xdr:rowOff>78074</xdr:rowOff>
    </xdr:to>
    <xdr:graphicFrame macro="">
      <xdr:nvGraphicFramePr>
        <xdr:cNvPr id="5" name="Chart 4">
          <a:extLst>
            <a:ext uri="{FF2B5EF4-FFF2-40B4-BE49-F238E27FC236}">
              <a16:creationId xmlns:a16="http://schemas.microsoft.com/office/drawing/2014/main" id="{B70949FF-6465-453E-A9FC-0F9EC616A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99331</xdr:colOff>
      <xdr:row>44</xdr:row>
      <xdr:rowOff>20266</xdr:rowOff>
    </xdr:from>
    <xdr:to>
      <xdr:col>41</xdr:col>
      <xdr:colOff>243193</xdr:colOff>
      <xdr:row>68</xdr:row>
      <xdr:rowOff>20266</xdr:rowOff>
    </xdr:to>
    <xdr:graphicFrame macro="">
      <xdr:nvGraphicFramePr>
        <xdr:cNvPr id="7" name="Chart 6">
          <a:extLst>
            <a:ext uri="{FF2B5EF4-FFF2-40B4-BE49-F238E27FC236}">
              <a16:creationId xmlns:a16="http://schemas.microsoft.com/office/drawing/2014/main" id="{0CCED81D-174E-4FF3-BD28-DCFEC5996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387245</xdr:colOff>
      <xdr:row>44</xdr:row>
      <xdr:rowOff>15950</xdr:rowOff>
    </xdr:from>
    <xdr:to>
      <xdr:col>20</xdr:col>
      <xdr:colOff>466118</xdr:colOff>
      <xdr:row>68</xdr:row>
      <xdr:rowOff>94447</xdr:rowOff>
    </xdr:to>
    <xdr:graphicFrame macro="">
      <xdr:nvGraphicFramePr>
        <xdr:cNvPr id="8" name="Chart 7">
          <a:extLst>
            <a:ext uri="{FF2B5EF4-FFF2-40B4-BE49-F238E27FC236}">
              <a16:creationId xmlns:a16="http://schemas.microsoft.com/office/drawing/2014/main" id="{1104C46F-BEA5-4B5B-AE1A-02EA24CBB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374007</xdr:colOff>
      <xdr:row>13</xdr:row>
      <xdr:rowOff>49130</xdr:rowOff>
    </xdr:from>
    <xdr:to>
      <xdr:col>41</xdr:col>
      <xdr:colOff>294175</xdr:colOff>
      <xdr:row>41</xdr:row>
      <xdr:rowOff>160799</xdr:rowOff>
    </xdr:to>
    <xdr:graphicFrame macro="">
      <xdr:nvGraphicFramePr>
        <xdr:cNvPr id="6" name="Chart 5">
          <a:extLst>
            <a:ext uri="{FF2B5EF4-FFF2-40B4-BE49-F238E27FC236}">
              <a16:creationId xmlns:a16="http://schemas.microsoft.com/office/drawing/2014/main" id="{76452E2D-4F28-4D74-86BD-08B793504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234708</xdr:colOff>
      <xdr:row>13</xdr:row>
      <xdr:rowOff>72486</xdr:rowOff>
    </xdr:from>
    <xdr:to>
      <xdr:col>6</xdr:col>
      <xdr:colOff>7340</xdr:colOff>
      <xdr:row>24</xdr:row>
      <xdr:rowOff>154781</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55300133-04A9-5C67-EE8A-5E852A0D0A9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4708" y="2544450"/>
              <a:ext cx="3439221" cy="2078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250032</xdr:colOff>
      <xdr:row>26</xdr:row>
      <xdr:rowOff>5172</xdr:rowOff>
    </xdr:from>
    <xdr:to>
      <xdr:col>5</xdr:col>
      <xdr:colOff>583406</xdr:colOff>
      <xdr:row>35</xdr:row>
      <xdr:rowOff>2409</xdr:rowOff>
    </xdr:to>
    <mc:AlternateContent xmlns:mc="http://schemas.openxmlformats.org/markup-compatibility/2006" xmlns:a14="http://schemas.microsoft.com/office/drawing/2010/main">
      <mc:Choice Requires="a14">
        <xdr:graphicFrame macro="">
          <xdr:nvGraphicFramePr>
            <xdr:cNvPr id="9" name="Alert_Status">
              <a:extLst>
                <a:ext uri="{FF2B5EF4-FFF2-40B4-BE49-F238E27FC236}">
                  <a16:creationId xmlns:a16="http://schemas.microsoft.com/office/drawing/2014/main" id="{14CEA4F6-C23C-407C-B7EF-C19E5759202D}"/>
                </a:ext>
              </a:extLst>
            </xdr:cNvPr>
            <xdr:cNvGraphicFramePr/>
          </xdr:nvGraphicFramePr>
          <xdr:xfrm>
            <a:off x="0" y="0"/>
            <a:ext cx="0" cy="0"/>
          </xdr:xfrm>
          <a:graphic>
            <a:graphicData uri="http://schemas.microsoft.com/office/drawing/2010/slicer">
              <sle:slicer xmlns:sle="http://schemas.microsoft.com/office/drawing/2010/slicer" name="Alert_Status"/>
            </a:graphicData>
          </a:graphic>
        </xdr:graphicFrame>
      </mc:Choice>
      <mc:Fallback xmlns="">
        <xdr:sp macro="" textlink="">
          <xdr:nvSpPr>
            <xdr:cNvPr id="0" name=""/>
            <xdr:cNvSpPr>
              <a:spLocks noTextEdit="1"/>
            </xdr:cNvSpPr>
          </xdr:nvSpPr>
          <xdr:spPr>
            <a:xfrm>
              <a:off x="250032" y="4835708"/>
              <a:ext cx="3394981" cy="1630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293783</xdr:colOff>
      <xdr:row>53</xdr:row>
      <xdr:rowOff>162152</xdr:rowOff>
    </xdr:from>
    <xdr:to>
      <xdr:col>5</xdr:col>
      <xdr:colOff>583406</xdr:colOff>
      <xdr:row>70</xdr:row>
      <xdr:rowOff>31231</xdr:rowOff>
    </xdr:to>
    <mc:AlternateContent xmlns:mc="http://schemas.openxmlformats.org/markup-compatibility/2006" xmlns:a14="http://schemas.microsoft.com/office/drawing/2010/main">
      <mc:Choice Requires="a14">
        <xdr:graphicFrame macro="">
          <xdr:nvGraphicFramePr>
            <xdr:cNvPr id="11" name="Product_Name">
              <a:extLst>
                <a:ext uri="{FF2B5EF4-FFF2-40B4-BE49-F238E27FC236}">
                  <a16:creationId xmlns:a16="http://schemas.microsoft.com/office/drawing/2014/main" id="{01D1B26C-C381-D660-F990-9AC59AA14B16}"/>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93783" y="9891259"/>
              <a:ext cx="3351230" cy="2953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288628</xdr:colOff>
      <xdr:row>44</xdr:row>
      <xdr:rowOff>34865</xdr:rowOff>
    </xdr:from>
    <xdr:to>
      <xdr:col>6</xdr:col>
      <xdr:colOff>7289</xdr:colOff>
      <xdr:row>52</xdr:row>
      <xdr:rowOff>166687</xdr:rowOff>
    </xdr:to>
    <mc:AlternateContent xmlns:mc="http://schemas.openxmlformats.org/markup-compatibility/2006" xmlns:a14="http://schemas.microsoft.com/office/drawing/2010/main">
      <mc:Choice Requires="a14">
        <xdr:graphicFrame macro="">
          <xdr:nvGraphicFramePr>
            <xdr:cNvPr id="12" name="Action_Recommendation">
              <a:extLst>
                <a:ext uri="{FF2B5EF4-FFF2-40B4-BE49-F238E27FC236}">
                  <a16:creationId xmlns:a16="http://schemas.microsoft.com/office/drawing/2014/main" id="{643354A4-1811-6FBC-EE89-EBB8787611FA}"/>
                </a:ext>
              </a:extLst>
            </xdr:cNvPr>
            <xdr:cNvGraphicFramePr/>
          </xdr:nvGraphicFramePr>
          <xdr:xfrm>
            <a:off x="0" y="0"/>
            <a:ext cx="0" cy="0"/>
          </xdr:xfrm>
          <a:graphic>
            <a:graphicData uri="http://schemas.microsoft.com/office/drawing/2010/slicer">
              <sle:slicer xmlns:sle="http://schemas.microsoft.com/office/drawing/2010/slicer" name="Action_Recommendation"/>
            </a:graphicData>
          </a:graphic>
        </xdr:graphicFrame>
      </mc:Choice>
      <mc:Fallback xmlns="">
        <xdr:sp macro="" textlink="">
          <xdr:nvSpPr>
            <xdr:cNvPr id="0" name=""/>
            <xdr:cNvSpPr>
              <a:spLocks noTextEdit="1"/>
            </xdr:cNvSpPr>
          </xdr:nvSpPr>
          <xdr:spPr>
            <a:xfrm>
              <a:off x="288628" y="8131115"/>
              <a:ext cx="3392590" cy="1583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333374</xdr:colOff>
      <xdr:row>71</xdr:row>
      <xdr:rowOff>59531</xdr:rowOff>
    </xdr:from>
    <xdr:to>
      <xdr:col>6</xdr:col>
      <xdr:colOff>4615</xdr:colOff>
      <xdr:row>97</xdr:row>
      <xdr:rowOff>93688</xdr:rowOff>
    </xdr:to>
    <mc:AlternateContent xmlns:mc="http://schemas.openxmlformats.org/markup-compatibility/2006" xmlns:a14="http://schemas.microsoft.com/office/drawing/2010/main">
      <mc:Choice Requires="a14">
        <xdr:graphicFrame macro="">
          <xdr:nvGraphicFramePr>
            <xdr:cNvPr id="15" name="Batch_ID">
              <a:extLst>
                <a:ext uri="{FF2B5EF4-FFF2-40B4-BE49-F238E27FC236}">
                  <a16:creationId xmlns:a16="http://schemas.microsoft.com/office/drawing/2014/main" id="{6747DA25-5BC6-E266-E000-44A4223AE8F0}"/>
                </a:ext>
              </a:extLst>
            </xdr:cNvPr>
            <xdr:cNvGraphicFramePr/>
          </xdr:nvGraphicFramePr>
          <xdr:xfrm>
            <a:off x="0" y="0"/>
            <a:ext cx="0" cy="0"/>
          </xdr:xfrm>
          <a:graphic>
            <a:graphicData uri="http://schemas.microsoft.com/office/drawing/2010/slicer">
              <sle:slicer xmlns:sle="http://schemas.microsoft.com/office/drawing/2010/slicer" name="Batch_ID"/>
            </a:graphicData>
          </a:graphic>
        </xdr:graphicFrame>
      </mc:Choice>
      <mc:Fallback xmlns="">
        <xdr:sp macro="" textlink="">
          <xdr:nvSpPr>
            <xdr:cNvPr id="0" name=""/>
            <xdr:cNvSpPr>
              <a:spLocks noTextEdit="1"/>
            </xdr:cNvSpPr>
          </xdr:nvSpPr>
          <xdr:spPr>
            <a:xfrm>
              <a:off x="333374" y="13054352"/>
              <a:ext cx="3345170" cy="475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36</xdr:row>
      <xdr:rowOff>9525</xdr:rowOff>
    </xdr:from>
    <xdr:to>
      <xdr:col>5</xdr:col>
      <xdr:colOff>533400</xdr:colOff>
      <xdr:row>43</xdr:row>
      <xdr:rowOff>57150</xdr:rowOff>
    </xdr:to>
    <mc:AlternateContent xmlns:mc="http://schemas.openxmlformats.org/markup-compatibility/2006" xmlns:a14="http://schemas.microsoft.com/office/drawing/2010/main">
      <mc:Choice Requires="a14">
        <xdr:graphicFrame macro="">
          <xdr:nvGraphicFramePr>
            <xdr:cNvPr id="16" name="Expiry_Alert_30Days 1">
              <a:extLst>
                <a:ext uri="{FF2B5EF4-FFF2-40B4-BE49-F238E27FC236}">
                  <a16:creationId xmlns:a16="http://schemas.microsoft.com/office/drawing/2014/main" id="{2EABB20C-2752-D4A6-E2A7-9444AF876855}"/>
                </a:ext>
              </a:extLst>
            </xdr:cNvPr>
            <xdr:cNvGraphicFramePr/>
          </xdr:nvGraphicFramePr>
          <xdr:xfrm>
            <a:off x="0" y="0"/>
            <a:ext cx="0" cy="0"/>
          </xdr:xfrm>
          <a:graphic>
            <a:graphicData uri="http://schemas.microsoft.com/office/drawing/2010/slicer">
              <sle:slicer xmlns:sle="http://schemas.microsoft.com/office/drawing/2010/slicer" name="Expiry_Alert_30Days 1"/>
            </a:graphicData>
          </a:graphic>
        </xdr:graphicFrame>
      </mc:Choice>
      <mc:Fallback xmlns="">
        <xdr:sp macro="" textlink="">
          <xdr:nvSpPr>
            <xdr:cNvPr id="0" name=""/>
            <xdr:cNvSpPr>
              <a:spLocks noTextEdit="1"/>
            </xdr:cNvSpPr>
          </xdr:nvSpPr>
          <xdr:spPr>
            <a:xfrm>
              <a:off x="247650" y="6654346"/>
              <a:ext cx="3347357" cy="1317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22.352189004632" createdVersion="8" refreshedVersion="8" minRefreshableVersion="3" recordCount="320" xr:uid="{03E71F0C-FBE4-4CF9-B288-6FB7327978BA}">
  <cacheSource type="worksheet">
    <worksheetSource ref="A5:R325" sheet="MASTER_DATA"/>
  </cacheSource>
  <cacheFields count="18">
    <cacheField name="Batch_ID" numFmtId="0">
      <sharedItems count="320">
        <s v="B2026-1001"/>
        <s v="B2026-1002"/>
        <s v="B2026-1003"/>
        <s v="B2026-1004"/>
        <s v="B2026-1005"/>
        <s v="B2026-1006"/>
        <s v="B2026-1007"/>
        <s v="B2026-1008"/>
        <s v="B2026-1009"/>
        <s v="B2026-1010"/>
        <s v="B2026-1011"/>
        <s v="B2026-1012"/>
        <s v="B2026-1013"/>
        <s v="B2026-1014"/>
        <s v="B2026-1015"/>
        <s v="B2026-1016"/>
        <s v="B2026-1017"/>
        <s v="B2026-1018"/>
        <s v="B2026-1019"/>
        <s v="B2026-1020"/>
        <s v="B2026-1021"/>
        <s v="B2026-1022"/>
        <s v="B2026-1023"/>
        <s v="B2026-1024"/>
        <s v="B2026-1025"/>
        <s v="B2026-1026"/>
        <s v="B2026-1027"/>
        <s v="B2026-1028"/>
        <s v="B2026-1029"/>
        <s v="B2026-1030"/>
        <s v="B2026-1031"/>
        <s v="B2026-1032"/>
        <s v="B2026-1033"/>
        <s v="B2026-1034"/>
        <s v="B2026-1035"/>
        <s v="B2026-1036"/>
        <s v="B2026-1037"/>
        <s v="B2026-1038"/>
        <s v="B2026-1039"/>
        <s v="B2026-1040"/>
        <s v="B2026-1041"/>
        <s v="B2026-1042"/>
        <s v="B2026-1043"/>
        <s v="B2026-1044"/>
        <s v="B2026-1045"/>
        <s v="B2026-1046"/>
        <s v="B2026-1047"/>
        <s v="B2026-1048"/>
        <s v="B2026-1049"/>
        <s v="B2026-1050"/>
        <s v="B2026-1051"/>
        <s v="B2026-1052"/>
        <s v="B2026-1053"/>
        <s v="B2026-1054"/>
        <s v="B2026-1055"/>
        <s v="B2026-1056"/>
        <s v="B2026-1057"/>
        <s v="B2026-1058"/>
        <s v="B2026-1059"/>
        <s v="B2026-1060"/>
        <s v="B2026-1061"/>
        <s v="B2026-1062"/>
        <s v="B2026-1063"/>
        <s v="B2026-1064"/>
        <s v="B2026-1065"/>
        <s v="B2026-1066"/>
        <s v="B2026-1067"/>
        <s v="B2026-1068"/>
        <s v="B2026-1069"/>
        <s v="B2026-1070"/>
        <s v="B2026-1071"/>
        <s v="B2026-1072"/>
        <s v="B2026-1073"/>
        <s v="B2026-1074"/>
        <s v="B2026-1075"/>
        <s v="B2026-1076"/>
        <s v="B2026-1077"/>
        <s v="B2026-1078"/>
        <s v="B2026-1079"/>
        <s v="B2026-1080"/>
        <s v="B2026-1081"/>
        <s v="B2026-1082"/>
        <s v="B2026-1083"/>
        <s v="B2026-1084"/>
        <s v="B2026-1085"/>
        <s v="B2026-1086"/>
        <s v="B2026-1087"/>
        <s v="B2026-1088"/>
        <s v="B2026-1089"/>
        <s v="B2026-1090"/>
        <s v="B2026-1091"/>
        <s v="B2026-1092"/>
        <s v="B2026-1093"/>
        <s v="B2026-1094"/>
        <s v="B2026-1095"/>
        <s v="B2026-1096"/>
        <s v="B2026-1097"/>
        <s v="B2026-1098"/>
        <s v="B2026-1099"/>
        <s v="B2026-1100"/>
        <s v="B2026-1101"/>
        <s v="B2026-1102"/>
        <s v="B2026-1103"/>
        <s v="B2026-1104"/>
        <s v="B2026-1105"/>
        <s v="B2026-1106"/>
        <s v="B2026-1107"/>
        <s v="B2026-1108"/>
        <s v="B2026-1109"/>
        <s v="B2026-1110"/>
        <s v="B2026-1111"/>
        <s v="B2026-1112"/>
        <s v="B2026-1113"/>
        <s v="B2026-1114"/>
        <s v="B2026-1115"/>
        <s v="B2026-1116"/>
        <s v="B2026-1117"/>
        <s v="B2026-1118"/>
        <s v="B2026-1119"/>
        <s v="B2026-1120"/>
        <s v="B2026-1121"/>
        <s v="B2026-1122"/>
        <s v="B2026-1123"/>
        <s v="B2026-1124"/>
        <s v="B2026-1125"/>
        <s v="B2026-1126"/>
        <s v="B2026-1127"/>
        <s v="B2026-1128"/>
        <s v="B2026-1129"/>
        <s v="B2026-1130"/>
        <s v="B2026-1131"/>
        <s v="B2026-1132"/>
        <s v="B2026-1133"/>
        <s v="B2026-1134"/>
        <s v="B2026-1135"/>
        <s v="B2026-1136"/>
        <s v="B2026-1137"/>
        <s v="B2026-1138"/>
        <s v="B2026-1139"/>
        <s v="B2026-1140"/>
        <s v="B2026-1141"/>
        <s v="B2026-1142"/>
        <s v="B2026-1143"/>
        <s v="B2026-1144"/>
        <s v="B2026-1145"/>
        <s v="B2026-1146"/>
        <s v="B2026-1147"/>
        <s v="B2026-1148"/>
        <s v="B2026-1149"/>
        <s v="B2026-1150"/>
        <s v="B2026-1151"/>
        <s v="B2026-1152"/>
        <s v="B2026-1153"/>
        <s v="B2026-1154"/>
        <s v="B2026-1155"/>
        <s v="B2026-1156"/>
        <s v="B2026-1157"/>
        <s v="B2026-1158"/>
        <s v="B2026-1159"/>
        <s v="B2026-1160"/>
        <s v="B2026-1161"/>
        <s v="B2026-1162"/>
        <s v="B2026-1163"/>
        <s v="B2026-1164"/>
        <s v="B2026-1165"/>
        <s v="B2026-1166"/>
        <s v="B2026-1167"/>
        <s v="B2026-1168"/>
        <s v="B2026-1169"/>
        <s v="B2026-1170"/>
        <s v="B2026-1171"/>
        <s v="B2026-1172"/>
        <s v="B2026-1173"/>
        <s v="B2026-1174"/>
        <s v="B2026-1175"/>
        <s v="B2026-1176"/>
        <s v="B2026-1177"/>
        <s v="B2026-1178"/>
        <s v="B2026-1179"/>
        <s v="B2026-1180"/>
        <s v="B2026-1181"/>
        <s v="B2026-1182"/>
        <s v="B2026-1183"/>
        <s v="B2026-1184"/>
        <s v="B2026-1185"/>
        <s v="B2026-1186"/>
        <s v="B2026-1187"/>
        <s v="B2026-1188"/>
        <s v="B2026-1189"/>
        <s v="B2026-1190"/>
        <s v="B2026-1191"/>
        <s v="B2026-1192"/>
        <s v="B2026-1193"/>
        <s v="B2026-1194"/>
        <s v="B2026-1195"/>
        <s v="B2026-1196"/>
        <s v="B2026-1197"/>
        <s v="B2026-1198"/>
        <s v="B2026-1199"/>
        <s v="B2026-1200"/>
        <s v="B2026-1201"/>
        <s v="B2026-1202"/>
        <s v="B2026-1203"/>
        <s v="B2026-1204"/>
        <s v="B2026-1205"/>
        <s v="B2026-1206"/>
        <s v="B2026-1207"/>
        <s v="B2026-1208"/>
        <s v="B2026-1209"/>
        <s v="B2026-1210"/>
        <s v="B2026-1211"/>
        <s v="B2026-1212"/>
        <s v="B2026-1213"/>
        <s v="B2026-1214"/>
        <s v="B2026-1215"/>
        <s v="B2026-1216"/>
        <s v="B2026-1217"/>
        <s v="B2026-1218"/>
        <s v="B2026-1219"/>
        <s v="B2026-1220"/>
        <s v="B2026-1221"/>
        <s v="B2026-1222"/>
        <s v="B2026-1223"/>
        <s v="B2026-1224"/>
        <s v="B2026-1225"/>
        <s v="B2026-1226"/>
        <s v="B2026-1227"/>
        <s v="B2026-1228"/>
        <s v="B2026-1229"/>
        <s v="B2026-1230"/>
        <s v="B2026-1231"/>
        <s v="B2026-1232"/>
        <s v="B2026-1233"/>
        <s v="B2026-1234"/>
        <s v="B2026-1235"/>
        <s v="B2026-1236"/>
        <s v="B2026-1237"/>
        <s v="B2026-1238"/>
        <s v="B2026-1239"/>
        <s v="B2026-1240"/>
        <s v="B2026-1241"/>
        <s v="B2026-1242"/>
        <s v="B2026-1243"/>
        <s v="B2026-1244"/>
        <s v="B2026-1245"/>
        <s v="B2026-1246"/>
        <s v="B2026-1247"/>
        <s v="B2026-1248"/>
        <s v="B2026-1249"/>
        <s v="B2026-1250"/>
        <s v="B2026-1251"/>
        <s v="B2026-1252"/>
        <s v="B2026-1253"/>
        <s v="B2026-1254"/>
        <s v="B2026-1255"/>
        <s v="B2026-1256"/>
        <s v="B2026-1257"/>
        <s v="B2026-1258"/>
        <s v="B2026-1259"/>
        <s v="B2026-1260"/>
        <s v="B2026-1261"/>
        <s v="B2026-1262"/>
        <s v="B2026-1263"/>
        <s v="B2026-1264"/>
        <s v="B2026-1265"/>
        <s v="B2026-1266"/>
        <s v="B2026-1267"/>
        <s v="B2026-1268"/>
        <s v="B2026-1269"/>
        <s v="B2026-1270"/>
        <s v="B2026-1271"/>
        <s v="B2026-1272"/>
        <s v="B2026-1273"/>
        <s v="B2026-1274"/>
        <s v="B2026-1275"/>
        <s v="B2026-1276"/>
        <s v="B2026-1277"/>
        <s v="B2026-1278"/>
        <s v="B2026-1279"/>
        <s v="B2026-1280"/>
        <s v="B2026-1281"/>
        <s v="B2026-1282"/>
        <s v="B2026-1283"/>
        <s v="B2026-1284"/>
        <s v="B2026-1285"/>
        <s v="B2026-1286"/>
        <s v="B2026-1287"/>
        <s v="B2026-1288"/>
        <s v="B2026-1289"/>
        <s v="B2026-1290"/>
        <s v="B2026-1291"/>
        <s v="B2026-1292"/>
        <s v="B2026-1293"/>
        <s v="B2026-1294"/>
        <s v="B2026-1295"/>
        <s v="B2026-1296"/>
        <s v="B2026-1297"/>
        <s v="B2026-1298"/>
        <s v="B2026-1299"/>
        <s v="B2026-1300"/>
        <s v="B2026-1301"/>
        <s v="B2026-1302"/>
        <s v="B2026-1303"/>
        <s v="B2026-1304"/>
        <s v="B2026-1305"/>
        <s v="B2026-1306"/>
        <s v="B2026-1307"/>
        <s v="B2026-1308"/>
        <s v="B2026-1309"/>
        <s v="B2026-1310"/>
        <s v="B2026-1311"/>
        <s v="B2026-1312"/>
        <s v="B2026-1313"/>
        <s v="B2026-1314"/>
        <s v="B2026-1315"/>
        <s v="B2026-1316"/>
        <s v="B2026-1317"/>
        <s v="B2026-1318"/>
        <s v="B2026-1319"/>
        <s v="B2026-1320"/>
      </sharedItems>
    </cacheField>
    <cacheField name="SKU_Code" numFmtId="0">
      <sharedItems/>
    </cacheField>
    <cacheField name="Product_Name" numFmtId="0">
      <sharedItems count="10">
        <s v="Retinol Night Cream 30g"/>
        <s v="Vitamin C Cleanser 100ml"/>
        <s v="Velvet Lip Tint 4g"/>
        <s v="Hyaluronic Acid Moisturizer 50g"/>
        <s v="Niacinamide Serum 30ml"/>
        <s v="Sunscreen SPF 50 PA+++"/>
        <s v="Micellar Water Cleanse 250ml"/>
        <s v="Centella Asiatica Soothing Essence"/>
        <s v="Coverage Cushion Foundation"/>
        <s v="AHA/BHA Exfoliating Toner 150ml"/>
      </sharedItems>
    </cacheField>
    <cacheField name="Category" numFmtId="0">
      <sharedItems count="6">
        <s v="Moisturizer"/>
        <s v="Cleanser"/>
        <s v="Makeup"/>
        <s v="Serum"/>
        <s v="Sunscreen"/>
        <s v="Toner"/>
      </sharedItems>
    </cacheField>
    <cacheField name="Inbound_Date" numFmtId="15">
      <sharedItems containsSemiMixedTypes="0" containsNonDate="0" containsDate="1" containsString="0" minDate="2025-06-01T00:00:00" maxDate="2026-11-25T00:00:00"/>
    </cacheField>
    <cacheField name="Expiry_Date" numFmtId="15">
      <sharedItems containsSemiMixedTypes="0" containsNonDate="0" containsDate="1" containsString="0" minDate="2025-09-13T00:00:00" maxDate="2028-12-19T00:00:00"/>
    </cacheField>
    <cacheField name="Qty_Inbound" numFmtId="3">
      <sharedItems containsSemiMixedTypes="0" containsString="0" containsNumber="1" containsInteger="1" minValue="100" maxValue="1000"/>
    </cacheField>
    <cacheField name="Qty_Outbound" numFmtId="3">
      <sharedItems containsSemiMixedTypes="0" containsString="0" containsNumber="1" containsInteger="1" minValue="0" maxValue="1000"/>
    </cacheField>
    <cacheField name="Qty_Remaining" numFmtId="3">
      <sharedItems containsSemiMixedTypes="0" containsString="0" containsNumber="1" containsInteger="1" minValue="0" maxValue="1000"/>
    </cacheField>
    <cacheField name="Unit_Cost" numFmtId="164">
      <sharedItems containsSemiMixedTypes="0" containsString="0" containsNumber="1" containsInteger="1" minValue="25000" maxValue="98000"/>
    </cacheField>
    <cacheField name="Total_Inbound_Value" numFmtId="164">
      <sharedItems containsSemiMixedTypes="0" containsString="0" containsNumber="1" containsInteger="1" minValue="2800000" maxValue="90000000"/>
    </cacheField>
    <cacheField name="Total_COGS_Outbound" numFmtId="164">
      <sharedItems containsSemiMixedTypes="0" containsString="0" containsNumber="1" containsInteger="1" minValue="0" maxValue="90000000"/>
    </cacheField>
    <cacheField name="Days_To_Expiry" numFmtId="167">
      <sharedItems containsSemiMixedTypes="0" containsString="0" containsNumber="1" containsInteger="1" minValue="-409" maxValue="783"/>
    </cacheField>
    <cacheField name="Expiry_Alert_30Days" numFmtId="3">
      <sharedItems count="3">
        <s v="SAFE"/>
        <s v="EXPIRED"/>
        <s v="EXPIRING SOON (&lt;30 DAYS)"/>
      </sharedItems>
    </cacheField>
    <cacheField name="Ending_Inventory_Value" numFmtId="165">
      <sharedItems containsSemiMixedTypes="0" containsString="0" containsNumber="1" containsInteger="1" minValue="0" maxValue="75000000"/>
    </cacheField>
    <cacheField name="Risk_Valuation" numFmtId="166">
      <sharedItems containsSemiMixedTypes="0" containsString="0" containsNumber="1" containsInteger="1" minValue="0" maxValue="58000000"/>
    </cacheField>
    <cacheField name="Alert_Status" numFmtId="0">
      <sharedItems count="4">
        <s v="WARNING"/>
        <s v="SAFE"/>
        <s v="EXPIRED"/>
        <s v="CRITICAL"/>
      </sharedItems>
    </cacheField>
    <cacheField name="Action_Recommendation" numFmtId="0">
      <sharedItems count="4">
        <s v="FlASH SALE "/>
        <s v="REGULAR SALES"/>
        <s v="WRITE-OFF"/>
        <s v="FEFO PRIORITY"/>
      </sharedItems>
    </cacheField>
  </cacheFields>
  <extLst>
    <ext xmlns:x14="http://schemas.microsoft.com/office/spreadsheetml/2009/9/main" uri="{725AE2AE-9491-48be-B2B4-4EB974FC3084}">
      <x14:pivotCacheDefinition pivotCacheId="44817027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x v="0"/>
    <s v="SK-RET-07"/>
    <x v="0"/>
    <x v="0"/>
    <d v="2026-02-26T00:00:00"/>
    <d v="2027-03-06T00:00:00"/>
    <n v="300"/>
    <n v="0"/>
    <n v="300"/>
    <n v="84000"/>
    <n v="25200000"/>
    <n v="0"/>
    <n v="130"/>
    <x v="0"/>
    <n v="25200000"/>
    <n v="0"/>
    <x v="0"/>
    <x v="0"/>
  </r>
  <r>
    <x v="1"/>
    <s v="CL-C20-03"/>
    <x v="1"/>
    <x v="1"/>
    <d v="2026-01-01T00:00:00"/>
    <d v="2027-06-08T00:00:00"/>
    <n v="250"/>
    <n v="0"/>
    <n v="250"/>
    <n v="34000"/>
    <n v="8500000"/>
    <n v="0"/>
    <n v="224"/>
    <x v="0"/>
    <n v="8500000"/>
    <n v="0"/>
    <x v="1"/>
    <x v="1"/>
  </r>
  <r>
    <x v="2"/>
    <s v="MK-LIP-06"/>
    <x v="2"/>
    <x v="2"/>
    <d v="2026-02-13T00:00:00"/>
    <d v="2027-02-22T00:00:00"/>
    <n v="200"/>
    <n v="0"/>
    <n v="200"/>
    <n v="35000"/>
    <n v="7000000"/>
    <n v="0"/>
    <n v="118"/>
    <x v="0"/>
    <n v="7000000"/>
    <n v="0"/>
    <x v="0"/>
    <x v="0"/>
  </r>
  <r>
    <x v="3"/>
    <s v="MO-HYA-05"/>
    <x v="3"/>
    <x v="0"/>
    <d v="2025-11-08T00:00:00"/>
    <d v="2026-08-11T00:00:00"/>
    <n v="100"/>
    <n v="0"/>
    <n v="100"/>
    <n v="68000"/>
    <n v="6800000"/>
    <n v="0"/>
    <n v="-77"/>
    <x v="1"/>
    <n v="6800000"/>
    <n v="6800000"/>
    <x v="2"/>
    <x v="2"/>
  </r>
  <r>
    <x v="4"/>
    <s v="SK-NNC-01"/>
    <x v="4"/>
    <x v="3"/>
    <d v="2025-07-29T00:00:00"/>
    <d v="2027-05-07T00:00:00"/>
    <n v="1000"/>
    <n v="0"/>
    <n v="1000"/>
    <n v="51000"/>
    <n v="51000000"/>
    <n v="0"/>
    <n v="192"/>
    <x v="0"/>
    <n v="51000000"/>
    <n v="0"/>
    <x v="1"/>
    <x v="1"/>
  </r>
  <r>
    <x v="5"/>
    <s v="CL-C20-03"/>
    <x v="1"/>
    <x v="1"/>
    <d v="2025-07-25T00:00:00"/>
    <d v="2027-07-24T00:00:00"/>
    <n v="100"/>
    <n v="0"/>
    <n v="100"/>
    <n v="34000"/>
    <n v="3400000"/>
    <n v="0"/>
    <n v="270"/>
    <x v="0"/>
    <n v="3400000"/>
    <n v="0"/>
    <x v="1"/>
    <x v="1"/>
  </r>
  <r>
    <x v="6"/>
    <s v="SK-RET-07"/>
    <x v="0"/>
    <x v="0"/>
    <d v="2025-06-21T00:00:00"/>
    <d v="2027-03-20T00:00:00"/>
    <n v="750"/>
    <n v="750"/>
    <n v="0"/>
    <n v="86000"/>
    <n v="64500000"/>
    <n v="64500000"/>
    <n v="144"/>
    <x v="0"/>
    <n v="0"/>
    <n v="0"/>
    <x v="0"/>
    <x v="0"/>
  </r>
  <r>
    <x v="7"/>
    <s v="SK-SUN-02"/>
    <x v="5"/>
    <x v="4"/>
    <d v="2026-02-20T00:00:00"/>
    <d v="2027-05-07T00:00:00"/>
    <n v="300"/>
    <n v="300"/>
    <n v="0"/>
    <n v="61000"/>
    <n v="18300000"/>
    <n v="18300000"/>
    <n v="192"/>
    <x v="0"/>
    <n v="0"/>
    <n v="0"/>
    <x v="1"/>
    <x v="1"/>
  </r>
  <r>
    <x v="8"/>
    <s v="CL-MCL-08"/>
    <x v="6"/>
    <x v="1"/>
    <d v="2025-07-05T00:00:00"/>
    <d v="2027-06-13T00:00:00"/>
    <n v="200"/>
    <n v="0"/>
    <n v="200"/>
    <n v="28000"/>
    <n v="5600000"/>
    <n v="0"/>
    <n v="229"/>
    <x v="0"/>
    <n v="5600000"/>
    <n v="0"/>
    <x v="1"/>
    <x v="1"/>
  </r>
  <r>
    <x v="9"/>
    <s v="SK-SUN-02"/>
    <x v="5"/>
    <x v="4"/>
    <d v="2025-07-24T00:00:00"/>
    <d v="2027-07-25T00:00:00"/>
    <n v="100"/>
    <n v="0"/>
    <n v="100"/>
    <n v="56000"/>
    <n v="5600000"/>
    <n v="0"/>
    <n v="271"/>
    <x v="0"/>
    <n v="5600000"/>
    <n v="0"/>
    <x v="1"/>
    <x v="1"/>
  </r>
  <r>
    <x v="10"/>
    <s v="TN-CEN-10"/>
    <x v="7"/>
    <x v="5"/>
    <d v="2025-07-14T00:00:00"/>
    <d v="2027-07-18T00:00:00"/>
    <n v="750"/>
    <n v="0"/>
    <n v="750"/>
    <n v="59000"/>
    <n v="44250000"/>
    <n v="0"/>
    <n v="264"/>
    <x v="0"/>
    <n v="44250000"/>
    <n v="0"/>
    <x v="1"/>
    <x v="1"/>
  </r>
  <r>
    <x v="11"/>
    <s v="SK-RET-07"/>
    <x v="0"/>
    <x v="0"/>
    <d v="2026-02-07T00:00:00"/>
    <d v="2027-04-30T00:00:00"/>
    <n v="500"/>
    <n v="500"/>
    <n v="0"/>
    <n v="87000"/>
    <n v="43500000"/>
    <n v="43500000"/>
    <n v="185"/>
    <x v="0"/>
    <n v="0"/>
    <n v="0"/>
    <x v="1"/>
    <x v="1"/>
  </r>
  <r>
    <x v="12"/>
    <s v="SK-SUN-02"/>
    <x v="5"/>
    <x v="4"/>
    <d v="2025-07-23T00:00:00"/>
    <d v="2027-07-27T00:00:00"/>
    <n v="200"/>
    <n v="0"/>
    <n v="200"/>
    <n v="63000"/>
    <n v="12600000"/>
    <n v="0"/>
    <n v="273"/>
    <x v="0"/>
    <n v="12600000"/>
    <n v="0"/>
    <x v="1"/>
    <x v="1"/>
  </r>
  <r>
    <x v="13"/>
    <s v="SK-NNC-01"/>
    <x v="4"/>
    <x v="3"/>
    <d v="2025-06-09T00:00:00"/>
    <d v="2026-11-27T00:00:00"/>
    <n v="200"/>
    <n v="0"/>
    <n v="200"/>
    <n v="51000"/>
    <n v="10200000"/>
    <n v="0"/>
    <n v="31"/>
    <x v="0"/>
    <n v="10200000"/>
    <n v="10200000"/>
    <x v="3"/>
    <x v="3"/>
  </r>
  <r>
    <x v="14"/>
    <s v="CL-C20-03"/>
    <x v="1"/>
    <x v="1"/>
    <d v="2025-08-20T00:00:00"/>
    <d v="2027-08-02T00:00:00"/>
    <n v="500"/>
    <n v="0"/>
    <n v="500"/>
    <n v="36000"/>
    <n v="18000000"/>
    <n v="0"/>
    <n v="279"/>
    <x v="0"/>
    <n v="18000000"/>
    <n v="0"/>
    <x v="1"/>
    <x v="1"/>
  </r>
  <r>
    <x v="15"/>
    <s v="TN-CEN-10"/>
    <x v="7"/>
    <x v="5"/>
    <d v="2026-01-17T00:00:00"/>
    <d v="2027-01-24T00:00:00"/>
    <n v="750"/>
    <n v="0"/>
    <n v="750"/>
    <n v="59000"/>
    <n v="44250000"/>
    <n v="0"/>
    <n v="89"/>
    <x v="0"/>
    <n v="44250000"/>
    <n v="0"/>
    <x v="0"/>
    <x v="0"/>
  </r>
  <r>
    <x v="16"/>
    <s v="SK-SUN-02"/>
    <x v="5"/>
    <x v="4"/>
    <d v="2025-07-03T00:00:00"/>
    <d v="2026-12-07T00:00:00"/>
    <n v="300"/>
    <n v="300"/>
    <n v="0"/>
    <n v="59000"/>
    <n v="17700000"/>
    <n v="17700000"/>
    <n v="41"/>
    <x v="0"/>
    <n v="0"/>
    <n v="0"/>
    <x v="3"/>
    <x v="3"/>
  </r>
  <r>
    <x v="17"/>
    <s v="CL-C20-03"/>
    <x v="1"/>
    <x v="1"/>
    <d v="2025-11-19T00:00:00"/>
    <d v="2026-11-25T00:00:00"/>
    <n v="300"/>
    <n v="0"/>
    <n v="300"/>
    <n v="34000"/>
    <n v="10200000"/>
    <n v="0"/>
    <n v="29"/>
    <x v="2"/>
    <n v="10200000"/>
    <n v="10200000"/>
    <x v="3"/>
    <x v="3"/>
  </r>
  <r>
    <x v="18"/>
    <s v="MO-HYA-05"/>
    <x v="3"/>
    <x v="0"/>
    <d v="2025-10-09T00:00:00"/>
    <d v="2027-04-12T00:00:00"/>
    <n v="200"/>
    <n v="0"/>
    <n v="200"/>
    <n v="66000"/>
    <n v="13200000"/>
    <n v="0"/>
    <n v="167"/>
    <x v="0"/>
    <n v="13200000"/>
    <n v="0"/>
    <x v="0"/>
    <x v="0"/>
  </r>
  <r>
    <x v="19"/>
    <s v="MK-CUS-09"/>
    <x v="8"/>
    <x v="2"/>
    <d v="2025-12-24T00:00:00"/>
    <d v="2027-09-14T00:00:00"/>
    <n v="250"/>
    <n v="0"/>
    <n v="250"/>
    <n v="87000"/>
    <n v="21750000"/>
    <n v="0"/>
    <n v="322"/>
    <x v="0"/>
    <n v="21750000"/>
    <n v="0"/>
    <x v="1"/>
    <x v="1"/>
  </r>
  <r>
    <x v="20"/>
    <s v="SK-RET-07"/>
    <x v="0"/>
    <x v="0"/>
    <d v="2026-01-27T00:00:00"/>
    <d v="2027-10-12T00:00:00"/>
    <n v="750"/>
    <n v="0"/>
    <n v="750"/>
    <n v="81000"/>
    <n v="60750000"/>
    <n v="0"/>
    <n v="350"/>
    <x v="0"/>
    <n v="60750000"/>
    <n v="0"/>
    <x v="1"/>
    <x v="1"/>
  </r>
  <r>
    <x v="21"/>
    <s v="SK-RET-07"/>
    <x v="0"/>
    <x v="0"/>
    <d v="2026-01-23T00:00:00"/>
    <d v="2027-01-31T00:00:00"/>
    <n v="200"/>
    <n v="0"/>
    <n v="200"/>
    <n v="81000"/>
    <n v="16200000"/>
    <n v="0"/>
    <n v="96"/>
    <x v="0"/>
    <n v="16200000"/>
    <n v="0"/>
    <x v="0"/>
    <x v="0"/>
  </r>
  <r>
    <x v="22"/>
    <s v="CL-C20-03"/>
    <x v="1"/>
    <x v="1"/>
    <d v="2025-08-25T00:00:00"/>
    <d v="2027-02-10T00:00:00"/>
    <n v="500"/>
    <n v="0"/>
    <n v="500"/>
    <n v="32000"/>
    <n v="16000000"/>
    <n v="0"/>
    <n v="106"/>
    <x v="0"/>
    <n v="16000000"/>
    <n v="0"/>
    <x v="0"/>
    <x v="0"/>
  </r>
  <r>
    <x v="23"/>
    <s v="MO-HYA-05"/>
    <x v="3"/>
    <x v="0"/>
    <d v="2025-10-12T00:00:00"/>
    <d v="2027-07-05T00:00:00"/>
    <n v="200"/>
    <n v="0"/>
    <n v="200"/>
    <n v="70000"/>
    <n v="14000000"/>
    <n v="0"/>
    <n v="251"/>
    <x v="0"/>
    <n v="14000000"/>
    <n v="0"/>
    <x v="1"/>
    <x v="1"/>
  </r>
  <r>
    <x v="24"/>
    <s v="TN-CEN-10"/>
    <x v="7"/>
    <x v="5"/>
    <d v="2026-01-17T00:00:00"/>
    <d v="2027-12-23T00:00:00"/>
    <n v="200"/>
    <n v="0"/>
    <n v="200"/>
    <n v="60000"/>
    <n v="12000000"/>
    <n v="0"/>
    <n v="422"/>
    <x v="0"/>
    <n v="12000000"/>
    <n v="0"/>
    <x v="1"/>
    <x v="1"/>
  </r>
  <r>
    <x v="25"/>
    <s v="TN-AHA-04"/>
    <x v="9"/>
    <x v="5"/>
    <d v="2026-01-19T00:00:00"/>
    <d v="2027-10-06T00:00:00"/>
    <n v="300"/>
    <n v="300"/>
    <n v="0"/>
    <n v="56000"/>
    <n v="16800000"/>
    <n v="16800000"/>
    <n v="344"/>
    <x v="0"/>
    <n v="0"/>
    <n v="0"/>
    <x v="1"/>
    <x v="1"/>
  </r>
  <r>
    <x v="26"/>
    <s v="MO-HYA-05"/>
    <x v="3"/>
    <x v="0"/>
    <d v="2026-01-11T00:00:00"/>
    <d v="2027-06-06T00:00:00"/>
    <n v="200"/>
    <n v="0"/>
    <n v="200"/>
    <n v="70000"/>
    <n v="14000000"/>
    <n v="0"/>
    <n v="222"/>
    <x v="0"/>
    <n v="14000000"/>
    <n v="0"/>
    <x v="1"/>
    <x v="1"/>
  </r>
  <r>
    <x v="27"/>
    <s v="MK-LIP-06"/>
    <x v="2"/>
    <x v="2"/>
    <d v="2025-11-07T00:00:00"/>
    <d v="2026-10-26T00:00:00"/>
    <n v="250"/>
    <n v="0"/>
    <n v="250"/>
    <n v="33000"/>
    <n v="8250000"/>
    <n v="0"/>
    <n v="-1"/>
    <x v="1"/>
    <n v="8250000"/>
    <n v="8250000"/>
    <x v="2"/>
    <x v="2"/>
  </r>
  <r>
    <x v="28"/>
    <s v="SK-NNC-01"/>
    <x v="4"/>
    <x v="3"/>
    <d v="2025-07-22T00:00:00"/>
    <d v="2027-01-09T00:00:00"/>
    <n v="250"/>
    <n v="250"/>
    <n v="0"/>
    <n v="45000"/>
    <n v="11250000"/>
    <n v="11250000"/>
    <n v="74"/>
    <x v="0"/>
    <n v="0"/>
    <n v="0"/>
    <x v="0"/>
    <x v="0"/>
  </r>
  <r>
    <x v="29"/>
    <s v="MO-HYA-05"/>
    <x v="3"/>
    <x v="0"/>
    <d v="2025-09-21T00:00:00"/>
    <d v="2027-09-22T00:00:00"/>
    <n v="300"/>
    <n v="0"/>
    <n v="300"/>
    <n v="61000"/>
    <n v="18300000"/>
    <n v="0"/>
    <n v="330"/>
    <x v="0"/>
    <n v="18300000"/>
    <n v="0"/>
    <x v="1"/>
    <x v="1"/>
  </r>
  <r>
    <x v="30"/>
    <s v="MK-LIP-06"/>
    <x v="2"/>
    <x v="2"/>
    <d v="2026-01-10T00:00:00"/>
    <d v="2028-01-03T00:00:00"/>
    <n v="300"/>
    <n v="0"/>
    <n v="300"/>
    <n v="32000"/>
    <n v="9600000"/>
    <n v="0"/>
    <n v="433"/>
    <x v="0"/>
    <n v="9600000"/>
    <n v="0"/>
    <x v="1"/>
    <x v="1"/>
  </r>
  <r>
    <x v="31"/>
    <s v="TN-CEN-10"/>
    <x v="7"/>
    <x v="5"/>
    <d v="2025-11-07T00:00:00"/>
    <d v="2026-11-09T00:00:00"/>
    <n v="300"/>
    <n v="0"/>
    <n v="300"/>
    <n v="62000"/>
    <n v="18600000"/>
    <n v="0"/>
    <n v="13"/>
    <x v="2"/>
    <n v="18600000"/>
    <n v="18600000"/>
    <x v="3"/>
    <x v="3"/>
  </r>
  <r>
    <x v="32"/>
    <s v="CL-MCL-08"/>
    <x v="6"/>
    <x v="1"/>
    <d v="2025-10-01T00:00:00"/>
    <d v="2027-03-20T00:00:00"/>
    <n v="250"/>
    <n v="250"/>
    <n v="0"/>
    <n v="28000"/>
    <n v="7000000"/>
    <n v="7000000"/>
    <n v="144"/>
    <x v="0"/>
    <n v="0"/>
    <n v="0"/>
    <x v="0"/>
    <x v="0"/>
  </r>
  <r>
    <x v="33"/>
    <s v="SK-SUN-02"/>
    <x v="5"/>
    <x v="4"/>
    <d v="2025-12-15T00:00:00"/>
    <d v="2027-09-11T00:00:00"/>
    <n v="500"/>
    <n v="0"/>
    <n v="500"/>
    <n v="63000"/>
    <n v="31500000"/>
    <n v="0"/>
    <n v="319"/>
    <x v="0"/>
    <n v="31500000"/>
    <n v="0"/>
    <x v="1"/>
    <x v="1"/>
  </r>
  <r>
    <x v="34"/>
    <s v="MK-LIP-06"/>
    <x v="2"/>
    <x v="2"/>
    <d v="2026-02-14T00:00:00"/>
    <d v="2027-02-20T00:00:00"/>
    <n v="200"/>
    <n v="0"/>
    <n v="200"/>
    <n v="29000"/>
    <n v="5800000"/>
    <n v="0"/>
    <n v="116"/>
    <x v="0"/>
    <n v="5800000"/>
    <n v="0"/>
    <x v="0"/>
    <x v="0"/>
  </r>
  <r>
    <x v="35"/>
    <s v="CL-C20-03"/>
    <x v="1"/>
    <x v="1"/>
    <d v="2025-10-25T00:00:00"/>
    <d v="2027-07-13T00:00:00"/>
    <n v="200"/>
    <n v="0"/>
    <n v="200"/>
    <n v="32000"/>
    <n v="6400000"/>
    <n v="0"/>
    <n v="259"/>
    <x v="0"/>
    <n v="6400000"/>
    <n v="0"/>
    <x v="1"/>
    <x v="1"/>
  </r>
  <r>
    <x v="36"/>
    <s v="CL-MCL-08"/>
    <x v="6"/>
    <x v="1"/>
    <d v="2025-10-06T00:00:00"/>
    <d v="2027-09-23T00:00:00"/>
    <n v="200"/>
    <n v="0"/>
    <n v="200"/>
    <n v="28000"/>
    <n v="5600000"/>
    <n v="0"/>
    <n v="331"/>
    <x v="0"/>
    <n v="5600000"/>
    <n v="0"/>
    <x v="1"/>
    <x v="1"/>
  </r>
  <r>
    <x v="37"/>
    <s v="MK-CUS-09"/>
    <x v="8"/>
    <x v="2"/>
    <d v="2025-10-29T00:00:00"/>
    <d v="2026-10-18T00:00:00"/>
    <n v="200"/>
    <n v="0"/>
    <n v="200"/>
    <n v="96000"/>
    <n v="19200000"/>
    <n v="0"/>
    <n v="-9"/>
    <x v="1"/>
    <n v="19200000"/>
    <n v="19200000"/>
    <x v="2"/>
    <x v="2"/>
  </r>
  <r>
    <x v="38"/>
    <s v="TN-CEN-10"/>
    <x v="7"/>
    <x v="5"/>
    <d v="2025-09-20T00:00:00"/>
    <d v="2026-09-27T00:00:00"/>
    <n v="200"/>
    <n v="0"/>
    <n v="200"/>
    <n v="52000"/>
    <n v="10400000"/>
    <n v="0"/>
    <n v="-30"/>
    <x v="1"/>
    <n v="10400000"/>
    <n v="10400000"/>
    <x v="2"/>
    <x v="2"/>
  </r>
  <r>
    <x v="39"/>
    <s v="MO-HYA-05"/>
    <x v="3"/>
    <x v="0"/>
    <d v="2025-07-07T00:00:00"/>
    <d v="2027-01-05T00:00:00"/>
    <n v="250"/>
    <n v="0"/>
    <n v="250"/>
    <n v="62000"/>
    <n v="15500000"/>
    <n v="0"/>
    <n v="70"/>
    <x v="0"/>
    <n v="15500000"/>
    <n v="0"/>
    <x v="0"/>
    <x v="0"/>
  </r>
  <r>
    <x v="40"/>
    <s v="CL-C20-03"/>
    <x v="1"/>
    <x v="1"/>
    <d v="2025-12-25T00:00:00"/>
    <d v="2027-06-26T00:00:00"/>
    <n v="250"/>
    <n v="0"/>
    <n v="250"/>
    <n v="32000"/>
    <n v="8000000"/>
    <n v="0"/>
    <n v="242"/>
    <x v="0"/>
    <n v="8000000"/>
    <n v="0"/>
    <x v="1"/>
    <x v="1"/>
  </r>
  <r>
    <x v="41"/>
    <s v="CL-MCL-08"/>
    <x v="6"/>
    <x v="1"/>
    <d v="2025-09-24T00:00:00"/>
    <d v="2027-02-13T00:00:00"/>
    <n v="500"/>
    <n v="500"/>
    <n v="0"/>
    <n v="28000"/>
    <n v="14000000"/>
    <n v="14000000"/>
    <n v="109"/>
    <x v="0"/>
    <n v="0"/>
    <n v="0"/>
    <x v="0"/>
    <x v="0"/>
  </r>
  <r>
    <x v="42"/>
    <s v="CL-C20-03"/>
    <x v="1"/>
    <x v="1"/>
    <d v="2025-09-20T00:00:00"/>
    <d v="2027-02-04T00:00:00"/>
    <n v="1000"/>
    <n v="1000"/>
    <n v="0"/>
    <n v="33000"/>
    <n v="33000000"/>
    <n v="33000000"/>
    <n v="100"/>
    <x v="0"/>
    <n v="0"/>
    <n v="0"/>
    <x v="0"/>
    <x v="0"/>
  </r>
  <r>
    <x v="43"/>
    <s v="SK-SUN-02"/>
    <x v="5"/>
    <x v="4"/>
    <d v="2025-12-11T00:00:00"/>
    <d v="2026-12-06T00:00:00"/>
    <n v="1000"/>
    <n v="0"/>
    <n v="1000"/>
    <n v="58000"/>
    <n v="58000000"/>
    <n v="0"/>
    <n v="40"/>
    <x v="0"/>
    <n v="58000000"/>
    <n v="58000000"/>
    <x v="3"/>
    <x v="3"/>
  </r>
  <r>
    <x v="44"/>
    <s v="SK-NNC-01"/>
    <x v="4"/>
    <x v="3"/>
    <d v="2025-08-07T00:00:00"/>
    <d v="2027-02-08T00:00:00"/>
    <n v="200"/>
    <n v="200"/>
    <n v="0"/>
    <n v="52000"/>
    <n v="10400000"/>
    <n v="10400000"/>
    <n v="104"/>
    <x v="0"/>
    <n v="0"/>
    <n v="0"/>
    <x v="0"/>
    <x v="0"/>
  </r>
  <r>
    <x v="45"/>
    <s v="CL-MCL-08"/>
    <x v="6"/>
    <x v="1"/>
    <d v="2025-10-13T00:00:00"/>
    <d v="2027-09-23T00:00:00"/>
    <n v="300"/>
    <n v="0"/>
    <n v="300"/>
    <n v="27000"/>
    <n v="8100000"/>
    <n v="0"/>
    <n v="331"/>
    <x v="0"/>
    <n v="8100000"/>
    <n v="0"/>
    <x v="1"/>
    <x v="1"/>
  </r>
  <r>
    <x v="46"/>
    <s v="CL-C20-03"/>
    <x v="1"/>
    <x v="1"/>
    <d v="2025-06-22T00:00:00"/>
    <d v="2026-12-09T00:00:00"/>
    <n v="1000"/>
    <n v="1000"/>
    <n v="0"/>
    <n v="34000"/>
    <n v="34000000"/>
    <n v="34000000"/>
    <n v="43"/>
    <x v="0"/>
    <n v="0"/>
    <n v="0"/>
    <x v="3"/>
    <x v="3"/>
  </r>
  <r>
    <x v="47"/>
    <s v="MK-LIP-06"/>
    <x v="2"/>
    <x v="2"/>
    <d v="2026-02-19T00:00:00"/>
    <d v="2027-01-31T00:00:00"/>
    <n v="250"/>
    <n v="0"/>
    <n v="250"/>
    <n v="28000"/>
    <n v="7000000"/>
    <n v="0"/>
    <n v="96"/>
    <x v="0"/>
    <n v="7000000"/>
    <n v="0"/>
    <x v="0"/>
    <x v="0"/>
  </r>
  <r>
    <x v="48"/>
    <s v="SK-NNC-01"/>
    <x v="4"/>
    <x v="3"/>
    <d v="2025-10-25T00:00:00"/>
    <d v="2026-10-21T00:00:00"/>
    <n v="100"/>
    <n v="0"/>
    <n v="100"/>
    <n v="48000"/>
    <n v="4800000"/>
    <n v="0"/>
    <n v="-6"/>
    <x v="1"/>
    <n v="4800000"/>
    <n v="4800000"/>
    <x v="2"/>
    <x v="2"/>
  </r>
  <r>
    <x v="49"/>
    <s v="MO-HYA-05"/>
    <x v="3"/>
    <x v="0"/>
    <d v="2025-06-06T00:00:00"/>
    <d v="2027-02-24T00:00:00"/>
    <n v="1000"/>
    <n v="1000"/>
    <n v="0"/>
    <n v="72000"/>
    <n v="72000000"/>
    <n v="72000000"/>
    <n v="120"/>
    <x v="0"/>
    <n v="0"/>
    <n v="0"/>
    <x v="0"/>
    <x v="0"/>
  </r>
  <r>
    <x v="50"/>
    <s v="SK-NNC-01"/>
    <x v="4"/>
    <x v="3"/>
    <d v="2026-03-29T00:00:00"/>
    <d v="2028-03-05T00:00:00"/>
    <n v="1000"/>
    <n v="0"/>
    <n v="1000"/>
    <n v="48000"/>
    <n v="48000000"/>
    <n v="0"/>
    <n v="495"/>
    <x v="0"/>
    <n v="48000000"/>
    <n v="0"/>
    <x v="1"/>
    <x v="1"/>
  </r>
  <r>
    <x v="51"/>
    <s v="MO-HYA-05"/>
    <x v="3"/>
    <x v="0"/>
    <d v="2025-11-08T00:00:00"/>
    <d v="2027-08-07T00:00:00"/>
    <n v="300"/>
    <n v="0"/>
    <n v="300"/>
    <n v="65000"/>
    <n v="19500000"/>
    <n v="0"/>
    <n v="284"/>
    <x v="0"/>
    <n v="19500000"/>
    <n v="0"/>
    <x v="1"/>
    <x v="1"/>
  </r>
  <r>
    <x v="52"/>
    <s v="TN-CEN-10"/>
    <x v="7"/>
    <x v="5"/>
    <d v="2025-11-21T00:00:00"/>
    <d v="2027-04-19T00:00:00"/>
    <n v="1000"/>
    <n v="0"/>
    <n v="1000"/>
    <n v="53000"/>
    <n v="53000000"/>
    <n v="0"/>
    <n v="174"/>
    <x v="0"/>
    <n v="53000000"/>
    <n v="0"/>
    <x v="0"/>
    <x v="0"/>
  </r>
  <r>
    <x v="53"/>
    <s v="TN-CEN-10"/>
    <x v="7"/>
    <x v="5"/>
    <d v="2026-02-28T00:00:00"/>
    <d v="2027-08-15T00:00:00"/>
    <n v="500"/>
    <n v="0"/>
    <n v="500"/>
    <n v="58000"/>
    <n v="29000000"/>
    <n v="0"/>
    <n v="292"/>
    <x v="0"/>
    <n v="29000000"/>
    <n v="0"/>
    <x v="1"/>
    <x v="1"/>
  </r>
  <r>
    <x v="54"/>
    <s v="TN-CEN-10"/>
    <x v="7"/>
    <x v="5"/>
    <d v="2026-02-02T00:00:00"/>
    <d v="2026-11-01T00:00:00"/>
    <n v="750"/>
    <n v="0"/>
    <n v="750"/>
    <n v="61000"/>
    <n v="45750000"/>
    <n v="0"/>
    <n v="5"/>
    <x v="2"/>
    <n v="45750000"/>
    <n v="45750000"/>
    <x v="3"/>
    <x v="3"/>
  </r>
  <r>
    <x v="55"/>
    <s v="SK-RET-07"/>
    <x v="0"/>
    <x v="0"/>
    <d v="2025-07-06T00:00:00"/>
    <d v="2026-12-13T00:00:00"/>
    <n v="100"/>
    <n v="0"/>
    <n v="100"/>
    <n v="88000"/>
    <n v="8800000"/>
    <n v="0"/>
    <n v="47"/>
    <x v="0"/>
    <n v="8800000"/>
    <n v="8800000"/>
    <x v="3"/>
    <x v="3"/>
  </r>
  <r>
    <x v="56"/>
    <s v="CL-C20-03"/>
    <x v="1"/>
    <x v="1"/>
    <d v="2025-10-21T00:00:00"/>
    <d v="2027-07-04T00:00:00"/>
    <n v="250"/>
    <n v="0"/>
    <n v="250"/>
    <n v="38000"/>
    <n v="9500000"/>
    <n v="0"/>
    <n v="250"/>
    <x v="0"/>
    <n v="9500000"/>
    <n v="0"/>
    <x v="1"/>
    <x v="1"/>
  </r>
  <r>
    <x v="57"/>
    <s v="MK-LIP-06"/>
    <x v="2"/>
    <x v="2"/>
    <d v="2025-07-21T00:00:00"/>
    <d v="2027-05-01T00:00:00"/>
    <n v="200"/>
    <n v="200"/>
    <n v="0"/>
    <n v="29000"/>
    <n v="5800000"/>
    <n v="5800000"/>
    <n v="186"/>
    <x v="0"/>
    <n v="0"/>
    <n v="0"/>
    <x v="1"/>
    <x v="1"/>
  </r>
  <r>
    <x v="58"/>
    <s v="TN-CEN-10"/>
    <x v="7"/>
    <x v="5"/>
    <d v="2025-11-27T00:00:00"/>
    <d v="2027-02-24T00:00:00"/>
    <n v="250"/>
    <n v="250"/>
    <n v="0"/>
    <n v="56000"/>
    <n v="14000000"/>
    <n v="14000000"/>
    <n v="120"/>
    <x v="0"/>
    <n v="0"/>
    <n v="0"/>
    <x v="0"/>
    <x v="0"/>
  </r>
  <r>
    <x v="59"/>
    <s v="SK-NNC-01"/>
    <x v="4"/>
    <x v="3"/>
    <d v="2026-02-19T00:00:00"/>
    <d v="2027-08-09T00:00:00"/>
    <n v="1000"/>
    <n v="0"/>
    <n v="1000"/>
    <n v="51000"/>
    <n v="51000000"/>
    <n v="0"/>
    <n v="286"/>
    <x v="0"/>
    <n v="51000000"/>
    <n v="0"/>
    <x v="1"/>
    <x v="1"/>
  </r>
  <r>
    <x v="60"/>
    <s v="TN-AHA-04"/>
    <x v="9"/>
    <x v="5"/>
    <d v="2026-02-17T00:00:00"/>
    <d v="2027-07-21T00:00:00"/>
    <n v="250"/>
    <n v="250"/>
    <n v="0"/>
    <n v="50000"/>
    <n v="12500000"/>
    <n v="12500000"/>
    <n v="267"/>
    <x v="0"/>
    <n v="0"/>
    <n v="0"/>
    <x v="1"/>
    <x v="1"/>
  </r>
  <r>
    <x v="61"/>
    <s v="SK-RET-07"/>
    <x v="0"/>
    <x v="0"/>
    <d v="2025-10-22T00:00:00"/>
    <d v="2027-10-24T00:00:00"/>
    <n v="500"/>
    <n v="0"/>
    <n v="500"/>
    <n v="77000"/>
    <n v="38500000"/>
    <n v="0"/>
    <n v="362"/>
    <x v="0"/>
    <n v="38500000"/>
    <n v="0"/>
    <x v="1"/>
    <x v="1"/>
  </r>
  <r>
    <x v="62"/>
    <s v="SK-NNC-01"/>
    <x v="4"/>
    <x v="3"/>
    <d v="2025-09-28T00:00:00"/>
    <d v="2027-04-08T00:00:00"/>
    <n v="500"/>
    <n v="300"/>
    <n v="200"/>
    <n v="46000"/>
    <n v="23000000"/>
    <n v="13800000"/>
    <n v="163"/>
    <x v="0"/>
    <n v="9200000"/>
    <n v="0"/>
    <x v="0"/>
    <x v="0"/>
  </r>
  <r>
    <x v="63"/>
    <s v="MO-HYA-05"/>
    <x v="3"/>
    <x v="0"/>
    <d v="2025-09-25T00:00:00"/>
    <d v="2027-02-15T00:00:00"/>
    <n v="300"/>
    <n v="300"/>
    <n v="0"/>
    <n v="60000"/>
    <n v="18000000"/>
    <n v="18000000"/>
    <n v="111"/>
    <x v="0"/>
    <n v="0"/>
    <n v="0"/>
    <x v="0"/>
    <x v="0"/>
  </r>
  <r>
    <x v="64"/>
    <s v="TN-CEN-10"/>
    <x v="7"/>
    <x v="5"/>
    <d v="2025-09-30T00:00:00"/>
    <d v="2027-03-15T00:00:00"/>
    <n v="200"/>
    <n v="0"/>
    <n v="200"/>
    <n v="57000"/>
    <n v="11400000"/>
    <n v="0"/>
    <n v="139"/>
    <x v="0"/>
    <n v="11400000"/>
    <n v="0"/>
    <x v="0"/>
    <x v="0"/>
  </r>
  <r>
    <x v="65"/>
    <s v="MK-CUS-09"/>
    <x v="8"/>
    <x v="2"/>
    <d v="2026-01-23T00:00:00"/>
    <d v="2027-07-22T00:00:00"/>
    <n v="300"/>
    <n v="300"/>
    <n v="0"/>
    <n v="89000"/>
    <n v="26700000"/>
    <n v="26700000"/>
    <n v="268"/>
    <x v="0"/>
    <n v="0"/>
    <n v="0"/>
    <x v="1"/>
    <x v="1"/>
  </r>
  <r>
    <x v="66"/>
    <s v="MK-LIP-06"/>
    <x v="2"/>
    <x v="2"/>
    <d v="2026-02-02T00:00:00"/>
    <d v="2027-05-13T00:00:00"/>
    <n v="250"/>
    <n v="250"/>
    <n v="0"/>
    <n v="32000"/>
    <n v="8000000"/>
    <n v="8000000"/>
    <n v="198"/>
    <x v="0"/>
    <n v="0"/>
    <n v="0"/>
    <x v="1"/>
    <x v="1"/>
  </r>
  <r>
    <x v="67"/>
    <s v="MK-LIP-06"/>
    <x v="2"/>
    <x v="2"/>
    <d v="2025-12-02T00:00:00"/>
    <d v="2028-09-10T00:00:00"/>
    <n v="100"/>
    <n v="0"/>
    <n v="100"/>
    <n v="28000"/>
    <n v="2800000"/>
    <n v="0"/>
    <n v="684"/>
    <x v="0"/>
    <n v="2800000"/>
    <n v="0"/>
    <x v="1"/>
    <x v="1"/>
  </r>
  <r>
    <x v="68"/>
    <s v="TN-AHA-04"/>
    <x v="9"/>
    <x v="5"/>
    <d v="2025-12-21T00:00:00"/>
    <d v="2027-03-31T00:00:00"/>
    <n v="250"/>
    <n v="250"/>
    <n v="0"/>
    <n v="54000"/>
    <n v="13500000"/>
    <n v="13500000"/>
    <n v="155"/>
    <x v="0"/>
    <n v="0"/>
    <n v="0"/>
    <x v="0"/>
    <x v="0"/>
  </r>
  <r>
    <x v="69"/>
    <s v="TN-AHA-04"/>
    <x v="9"/>
    <x v="5"/>
    <d v="2026-03-16T00:00:00"/>
    <d v="2026-11-30T00:00:00"/>
    <n v="250"/>
    <n v="0"/>
    <n v="250"/>
    <n v="57000"/>
    <n v="14250000"/>
    <n v="0"/>
    <n v="34"/>
    <x v="0"/>
    <n v="14250000"/>
    <n v="14250000"/>
    <x v="3"/>
    <x v="3"/>
  </r>
  <r>
    <x v="70"/>
    <s v="MK-LIP-06"/>
    <x v="2"/>
    <x v="2"/>
    <d v="2025-09-08T00:00:00"/>
    <d v="2026-12-01T00:00:00"/>
    <n v="300"/>
    <n v="300"/>
    <n v="0"/>
    <n v="29000"/>
    <n v="8700000"/>
    <n v="8700000"/>
    <n v="35"/>
    <x v="0"/>
    <n v="0"/>
    <n v="0"/>
    <x v="3"/>
    <x v="3"/>
  </r>
  <r>
    <x v="71"/>
    <s v="SK-NNC-01"/>
    <x v="4"/>
    <x v="3"/>
    <d v="2025-06-04T00:00:00"/>
    <d v="2027-05-30T00:00:00"/>
    <n v="300"/>
    <n v="0"/>
    <n v="300"/>
    <n v="45000"/>
    <n v="13500000"/>
    <n v="0"/>
    <n v="215"/>
    <x v="0"/>
    <n v="13500000"/>
    <n v="0"/>
    <x v="1"/>
    <x v="1"/>
  </r>
  <r>
    <x v="72"/>
    <s v="TN-AHA-04"/>
    <x v="9"/>
    <x v="5"/>
    <d v="2025-10-30T00:00:00"/>
    <d v="2027-10-12T00:00:00"/>
    <n v="300"/>
    <n v="50"/>
    <n v="250"/>
    <n v="48000"/>
    <n v="14400000"/>
    <n v="2400000"/>
    <n v="350"/>
    <x v="0"/>
    <n v="12000000"/>
    <n v="0"/>
    <x v="1"/>
    <x v="1"/>
  </r>
  <r>
    <x v="73"/>
    <s v="CL-C20-03"/>
    <x v="1"/>
    <x v="1"/>
    <d v="2025-09-09T00:00:00"/>
    <d v="2027-08-20T00:00:00"/>
    <n v="1000"/>
    <n v="0"/>
    <n v="1000"/>
    <n v="33000"/>
    <n v="33000000"/>
    <n v="0"/>
    <n v="297"/>
    <x v="0"/>
    <n v="33000000"/>
    <n v="0"/>
    <x v="1"/>
    <x v="1"/>
  </r>
  <r>
    <x v="74"/>
    <s v="SK-SUN-02"/>
    <x v="5"/>
    <x v="4"/>
    <d v="2026-02-08T00:00:00"/>
    <d v="2027-06-25T00:00:00"/>
    <n v="250"/>
    <n v="0"/>
    <n v="250"/>
    <n v="64000"/>
    <n v="16000000"/>
    <n v="0"/>
    <n v="241"/>
    <x v="0"/>
    <n v="16000000"/>
    <n v="0"/>
    <x v="1"/>
    <x v="1"/>
  </r>
  <r>
    <x v="75"/>
    <s v="CL-MCL-08"/>
    <x v="6"/>
    <x v="1"/>
    <d v="2025-09-01T00:00:00"/>
    <d v="2027-03-05T00:00:00"/>
    <n v="250"/>
    <n v="0"/>
    <n v="250"/>
    <n v="27000"/>
    <n v="6750000"/>
    <n v="0"/>
    <n v="129"/>
    <x v="0"/>
    <n v="6750000"/>
    <n v="0"/>
    <x v="0"/>
    <x v="0"/>
  </r>
  <r>
    <x v="76"/>
    <s v="MK-CUS-09"/>
    <x v="8"/>
    <x v="2"/>
    <d v="2025-12-13T00:00:00"/>
    <d v="2026-12-10T00:00:00"/>
    <n v="300"/>
    <n v="0"/>
    <n v="300"/>
    <n v="97000"/>
    <n v="29100000"/>
    <n v="0"/>
    <n v="44"/>
    <x v="0"/>
    <n v="29100000"/>
    <n v="29100000"/>
    <x v="3"/>
    <x v="3"/>
  </r>
  <r>
    <x v="77"/>
    <s v="CL-MCL-08"/>
    <x v="6"/>
    <x v="1"/>
    <d v="2026-01-03T00:00:00"/>
    <d v="2027-07-06T00:00:00"/>
    <n v="300"/>
    <n v="0"/>
    <n v="300"/>
    <n v="29000"/>
    <n v="8700000"/>
    <n v="0"/>
    <n v="252"/>
    <x v="0"/>
    <n v="8700000"/>
    <n v="0"/>
    <x v="1"/>
    <x v="1"/>
  </r>
  <r>
    <x v="78"/>
    <s v="MK-CUS-09"/>
    <x v="8"/>
    <x v="2"/>
    <d v="2025-12-09T00:00:00"/>
    <d v="2026-11-21T00:00:00"/>
    <n v="250"/>
    <n v="0"/>
    <n v="250"/>
    <n v="86000"/>
    <n v="21500000"/>
    <n v="0"/>
    <n v="25"/>
    <x v="2"/>
    <n v="21500000"/>
    <n v="21500000"/>
    <x v="3"/>
    <x v="3"/>
  </r>
  <r>
    <x v="79"/>
    <s v="SK-NNC-01"/>
    <x v="4"/>
    <x v="3"/>
    <d v="2025-09-04T00:00:00"/>
    <d v="2027-06-15T00:00:00"/>
    <n v="300"/>
    <n v="0"/>
    <n v="300"/>
    <n v="48000"/>
    <n v="14400000"/>
    <n v="0"/>
    <n v="231"/>
    <x v="0"/>
    <n v="14400000"/>
    <n v="0"/>
    <x v="1"/>
    <x v="1"/>
  </r>
  <r>
    <x v="80"/>
    <s v="SK-NNC-01"/>
    <x v="4"/>
    <x v="3"/>
    <d v="2025-11-30T00:00:00"/>
    <d v="2027-06-02T00:00:00"/>
    <n v="200"/>
    <n v="0"/>
    <n v="200"/>
    <n v="50000"/>
    <n v="10000000"/>
    <n v="0"/>
    <n v="218"/>
    <x v="0"/>
    <n v="10000000"/>
    <n v="0"/>
    <x v="1"/>
    <x v="1"/>
  </r>
  <r>
    <x v="81"/>
    <s v="SK-NNC-01"/>
    <x v="4"/>
    <x v="3"/>
    <d v="2025-08-01T00:00:00"/>
    <d v="2027-05-07T00:00:00"/>
    <n v="250"/>
    <n v="0"/>
    <n v="250"/>
    <n v="47000"/>
    <n v="11750000"/>
    <n v="0"/>
    <n v="192"/>
    <x v="0"/>
    <n v="11750000"/>
    <n v="0"/>
    <x v="1"/>
    <x v="1"/>
  </r>
  <r>
    <x v="82"/>
    <s v="CL-C20-03"/>
    <x v="1"/>
    <x v="1"/>
    <d v="2026-11-24T00:00:00"/>
    <d v="2027-05-06T00:00:00"/>
    <n v="750"/>
    <n v="0"/>
    <n v="750"/>
    <n v="35000"/>
    <n v="26250000"/>
    <n v="0"/>
    <n v="191"/>
    <x v="0"/>
    <n v="26250000"/>
    <n v="0"/>
    <x v="1"/>
    <x v="1"/>
  </r>
  <r>
    <x v="83"/>
    <s v="MK-CUS-09"/>
    <x v="8"/>
    <x v="2"/>
    <d v="2026-03-11T00:00:00"/>
    <d v="2028-03-04T00:00:00"/>
    <n v="300"/>
    <n v="0"/>
    <n v="300"/>
    <n v="89000"/>
    <n v="26700000"/>
    <n v="0"/>
    <n v="494"/>
    <x v="0"/>
    <n v="26700000"/>
    <n v="0"/>
    <x v="1"/>
    <x v="1"/>
  </r>
  <r>
    <x v="84"/>
    <s v="MO-HYA-05"/>
    <x v="3"/>
    <x v="0"/>
    <d v="2025-09-07T00:00:00"/>
    <d v="2027-09-06T00:00:00"/>
    <n v="300"/>
    <n v="0"/>
    <n v="300"/>
    <n v="63000"/>
    <n v="18900000"/>
    <n v="0"/>
    <n v="314"/>
    <x v="0"/>
    <n v="18900000"/>
    <n v="0"/>
    <x v="1"/>
    <x v="1"/>
  </r>
  <r>
    <x v="85"/>
    <s v="MO-HYA-05"/>
    <x v="3"/>
    <x v="0"/>
    <d v="2025-10-29T00:00:00"/>
    <d v="2027-04-13T00:00:00"/>
    <n v="100"/>
    <n v="0"/>
    <n v="100"/>
    <n v="69000"/>
    <n v="6900000"/>
    <n v="0"/>
    <n v="168"/>
    <x v="0"/>
    <n v="6900000"/>
    <n v="0"/>
    <x v="0"/>
    <x v="0"/>
  </r>
  <r>
    <x v="86"/>
    <s v="TN-CEN-10"/>
    <x v="7"/>
    <x v="5"/>
    <d v="2026-01-09T00:00:00"/>
    <d v="2028-05-26T00:00:00"/>
    <n v="750"/>
    <n v="0"/>
    <n v="750"/>
    <n v="62000"/>
    <n v="46500000"/>
    <n v="0"/>
    <n v="577"/>
    <x v="0"/>
    <n v="46500000"/>
    <n v="0"/>
    <x v="1"/>
    <x v="1"/>
  </r>
  <r>
    <x v="87"/>
    <s v="SK-SUN-02"/>
    <x v="5"/>
    <x v="4"/>
    <d v="2026-01-25T00:00:00"/>
    <d v="2028-06-18T00:00:00"/>
    <n v="500"/>
    <n v="100"/>
    <n v="400"/>
    <n v="55000"/>
    <n v="27500000"/>
    <n v="5500000"/>
    <n v="600"/>
    <x v="0"/>
    <n v="22000000"/>
    <n v="0"/>
    <x v="1"/>
    <x v="1"/>
  </r>
  <r>
    <x v="88"/>
    <s v="MK-LIP-06"/>
    <x v="2"/>
    <x v="2"/>
    <d v="2025-06-07T00:00:00"/>
    <d v="2028-02-24T00:00:00"/>
    <n v="100"/>
    <n v="100"/>
    <n v="0"/>
    <n v="29000"/>
    <n v="2900000"/>
    <n v="2900000"/>
    <n v="485"/>
    <x v="0"/>
    <n v="0"/>
    <n v="0"/>
    <x v="1"/>
    <x v="1"/>
  </r>
  <r>
    <x v="89"/>
    <s v="TN-CEN-10"/>
    <x v="7"/>
    <x v="5"/>
    <d v="2025-12-11T00:00:00"/>
    <d v="2028-04-29T00:00:00"/>
    <n v="200"/>
    <n v="0"/>
    <n v="200"/>
    <n v="59000"/>
    <n v="11800000"/>
    <n v="0"/>
    <n v="550"/>
    <x v="0"/>
    <n v="11800000"/>
    <n v="0"/>
    <x v="1"/>
    <x v="1"/>
  </r>
  <r>
    <x v="90"/>
    <s v="SK-NNC-01"/>
    <x v="4"/>
    <x v="3"/>
    <d v="2025-10-23T00:00:00"/>
    <d v="2027-10-22T00:00:00"/>
    <n v="300"/>
    <n v="0"/>
    <n v="300"/>
    <n v="48000"/>
    <n v="14400000"/>
    <n v="0"/>
    <n v="360"/>
    <x v="0"/>
    <n v="14400000"/>
    <n v="0"/>
    <x v="1"/>
    <x v="1"/>
  </r>
  <r>
    <x v="91"/>
    <s v="MK-LIP-06"/>
    <x v="2"/>
    <x v="2"/>
    <d v="2026-02-07T00:00:00"/>
    <d v="2027-07-20T00:00:00"/>
    <n v="250"/>
    <n v="0"/>
    <n v="250"/>
    <n v="34000"/>
    <n v="8500000"/>
    <n v="0"/>
    <n v="266"/>
    <x v="0"/>
    <n v="8500000"/>
    <n v="0"/>
    <x v="1"/>
    <x v="1"/>
  </r>
  <r>
    <x v="92"/>
    <s v="TN-CEN-10"/>
    <x v="7"/>
    <x v="5"/>
    <d v="2025-06-19T00:00:00"/>
    <d v="2028-11-03T00:00:00"/>
    <n v="200"/>
    <n v="200"/>
    <n v="0"/>
    <n v="53000"/>
    <n v="10600000"/>
    <n v="10600000"/>
    <n v="738"/>
    <x v="0"/>
    <n v="0"/>
    <n v="0"/>
    <x v="1"/>
    <x v="1"/>
  </r>
  <r>
    <x v="93"/>
    <s v="TN-CEN-10"/>
    <x v="7"/>
    <x v="5"/>
    <d v="2025-10-26T00:00:00"/>
    <d v="2028-04-07T00:00:00"/>
    <n v="500"/>
    <n v="0"/>
    <n v="500"/>
    <n v="58000"/>
    <n v="29000000"/>
    <n v="0"/>
    <n v="528"/>
    <x v="0"/>
    <n v="29000000"/>
    <n v="0"/>
    <x v="1"/>
    <x v="1"/>
  </r>
  <r>
    <x v="94"/>
    <s v="SK-NNC-01"/>
    <x v="4"/>
    <x v="3"/>
    <d v="2025-12-07T00:00:00"/>
    <d v="2026-09-15T00:00:00"/>
    <n v="200"/>
    <n v="0"/>
    <n v="200"/>
    <n v="52000"/>
    <n v="10400000"/>
    <n v="0"/>
    <n v="-42"/>
    <x v="1"/>
    <n v="10400000"/>
    <n v="10400000"/>
    <x v="2"/>
    <x v="2"/>
  </r>
  <r>
    <x v="95"/>
    <s v="SK-NNC-01"/>
    <x v="4"/>
    <x v="3"/>
    <d v="2025-09-25T00:00:00"/>
    <d v="2027-09-11T00:00:00"/>
    <n v="1000"/>
    <n v="0"/>
    <n v="1000"/>
    <n v="49000"/>
    <n v="49000000"/>
    <n v="0"/>
    <n v="319"/>
    <x v="0"/>
    <n v="49000000"/>
    <n v="0"/>
    <x v="1"/>
    <x v="1"/>
  </r>
  <r>
    <x v="96"/>
    <s v="MO-HYA-05"/>
    <x v="3"/>
    <x v="0"/>
    <d v="2025-08-19T00:00:00"/>
    <d v="2027-08-09T00:00:00"/>
    <n v="750"/>
    <n v="0"/>
    <n v="750"/>
    <n v="63000"/>
    <n v="47250000"/>
    <n v="0"/>
    <n v="286"/>
    <x v="0"/>
    <n v="47250000"/>
    <n v="0"/>
    <x v="1"/>
    <x v="1"/>
  </r>
  <r>
    <x v="97"/>
    <s v="CL-C20-03"/>
    <x v="1"/>
    <x v="1"/>
    <d v="2025-10-25T00:00:00"/>
    <d v="2027-10-17T00:00:00"/>
    <n v="200"/>
    <n v="0"/>
    <n v="200"/>
    <n v="32000"/>
    <n v="6400000"/>
    <n v="0"/>
    <n v="355"/>
    <x v="0"/>
    <n v="6400000"/>
    <n v="0"/>
    <x v="1"/>
    <x v="1"/>
  </r>
  <r>
    <x v="98"/>
    <s v="SK-NNC-01"/>
    <x v="4"/>
    <x v="3"/>
    <d v="2025-07-24T00:00:00"/>
    <d v="2026-07-19T00:00:00"/>
    <n v="500"/>
    <n v="0"/>
    <n v="500"/>
    <n v="47000"/>
    <n v="23500000"/>
    <n v="0"/>
    <n v="-100"/>
    <x v="1"/>
    <n v="23500000"/>
    <n v="23500000"/>
    <x v="2"/>
    <x v="2"/>
  </r>
  <r>
    <x v="99"/>
    <s v="TN-CEN-10"/>
    <x v="7"/>
    <x v="5"/>
    <d v="2026-01-10T00:00:00"/>
    <d v="2027-05-30T00:00:00"/>
    <n v="250"/>
    <n v="0"/>
    <n v="250"/>
    <n v="56000"/>
    <n v="14000000"/>
    <n v="0"/>
    <n v="215"/>
    <x v="0"/>
    <n v="14000000"/>
    <n v="0"/>
    <x v="1"/>
    <x v="1"/>
  </r>
  <r>
    <x v="100"/>
    <s v="CL-MCL-08"/>
    <x v="6"/>
    <x v="1"/>
    <d v="2025-09-30T00:00:00"/>
    <d v="2027-04-08T00:00:00"/>
    <n v="250"/>
    <n v="150"/>
    <n v="100"/>
    <n v="28000"/>
    <n v="7000000"/>
    <n v="4200000"/>
    <n v="163"/>
    <x v="0"/>
    <n v="2800000"/>
    <n v="0"/>
    <x v="0"/>
    <x v="0"/>
  </r>
  <r>
    <x v="101"/>
    <s v="SK-SUN-02"/>
    <x v="5"/>
    <x v="4"/>
    <d v="2025-06-28T00:00:00"/>
    <d v="2028-11-18T00:00:00"/>
    <n v="200"/>
    <n v="200"/>
    <n v="0"/>
    <n v="65000"/>
    <n v="13000000"/>
    <n v="13000000"/>
    <n v="753"/>
    <x v="0"/>
    <n v="0"/>
    <n v="0"/>
    <x v="1"/>
    <x v="1"/>
  </r>
  <r>
    <x v="102"/>
    <s v="MK-LIP-06"/>
    <x v="2"/>
    <x v="2"/>
    <d v="2025-10-23T00:00:00"/>
    <d v="2027-04-26T00:00:00"/>
    <n v="500"/>
    <n v="500"/>
    <n v="0"/>
    <n v="31000"/>
    <n v="15500000"/>
    <n v="15500000"/>
    <n v="181"/>
    <x v="0"/>
    <n v="0"/>
    <n v="0"/>
    <x v="1"/>
    <x v="1"/>
  </r>
  <r>
    <x v="103"/>
    <s v="CL-C20-03"/>
    <x v="1"/>
    <x v="1"/>
    <d v="2026-02-08T00:00:00"/>
    <d v="2028-02-01T00:00:00"/>
    <n v="500"/>
    <n v="0"/>
    <n v="500"/>
    <n v="38000"/>
    <n v="19000000"/>
    <n v="0"/>
    <n v="462"/>
    <x v="0"/>
    <n v="19000000"/>
    <n v="0"/>
    <x v="1"/>
    <x v="1"/>
  </r>
  <r>
    <x v="104"/>
    <s v="MK-CUS-09"/>
    <x v="8"/>
    <x v="2"/>
    <d v="2025-06-10T00:00:00"/>
    <d v="2027-06-02T00:00:00"/>
    <n v="300"/>
    <n v="0"/>
    <n v="300"/>
    <n v="89000"/>
    <n v="26700000"/>
    <n v="0"/>
    <n v="218"/>
    <x v="0"/>
    <n v="26700000"/>
    <n v="0"/>
    <x v="1"/>
    <x v="1"/>
  </r>
  <r>
    <x v="105"/>
    <s v="SK-RET-07"/>
    <x v="0"/>
    <x v="0"/>
    <d v="2026-03-16T00:00:00"/>
    <d v="2027-09-09T00:00:00"/>
    <n v="1000"/>
    <n v="0"/>
    <n v="1000"/>
    <n v="75000"/>
    <n v="75000000"/>
    <n v="0"/>
    <n v="317"/>
    <x v="0"/>
    <n v="75000000"/>
    <n v="0"/>
    <x v="1"/>
    <x v="1"/>
  </r>
  <r>
    <x v="106"/>
    <s v="MO-HYA-05"/>
    <x v="3"/>
    <x v="0"/>
    <d v="2026-03-09T00:00:00"/>
    <d v="2026-12-10T00:00:00"/>
    <n v="500"/>
    <n v="0"/>
    <n v="500"/>
    <n v="60000"/>
    <n v="30000000"/>
    <n v="0"/>
    <n v="44"/>
    <x v="0"/>
    <n v="30000000"/>
    <n v="30000000"/>
    <x v="3"/>
    <x v="3"/>
  </r>
  <r>
    <x v="107"/>
    <s v="SK-NNC-01"/>
    <x v="4"/>
    <x v="3"/>
    <d v="2025-09-06T00:00:00"/>
    <d v="2028-11-20T00:00:00"/>
    <n v="100"/>
    <n v="100"/>
    <n v="0"/>
    <n v="51000"/>
    <n v="5100000"/>
    <n v="5100000"/>
    <n v="755"/>
    <x v="0"/>
    <n v="0"/>
    <n v="0"/>
    <x v="1"/>
    <x v="1"/>
  </r>
  <r>
    <x v="108"/>
    <s v="MK-LIP-06"/>
    <x v="2"/>
    <x v="2"/>
    <d v="2025-12-14T00:00:00"/>
    <d v="2027-11-24T00:00:00"/>
    <n v="750"/>
    <n v="0"/>
    <n v="750"/>
    <n v="34000"/>
    <n v="25500000"/>
    <n v="0"/>
    <n v="393"/>
    <x v="0"/>
    <n v="25500000"/>
    <n v="0"/>
    <x v="1"/>
    <x v="1"/>
  </r>
  <r>
    <x v="109"/>
    <s v="MO-HYA-05"/>
    <x v="3"/>
    <x v="0"/>
    <d v="2025-07-23T00:00:00"/>
    <d v="2027-07-07T00:00:00"/>
    <n v="250"/>
    <n v="0"/>
    <n v="250"/>
    <n v="64000"/>
    <n v="16000000"/>
    <n v="0"/>
    <n v="253"/>
    <x v="0"/>
    <n v="16000000"/>
    <n v="0"/>
    <x v="1"/>
    <x v="1"/>
  </r>
  <r>
    <x v="110"/>
    <s v="MK-CUS-09"/>
    <x v="8"/>
    <x v="2"/>
    <d v="2025-06-01T00:00:00"/>
    <d v="2027-05-19T00:00:00"/>
    <n v="200"/>
    <n v="0"/>
    <n v="200"/>
    <n v="85000"/>
    <n v="17000000"/>
    <n v="0"/>
    <n v="204"/>
    <x v="0"/>
    <n v="17000000"/>
    <n v="0"/>
    <x v="1"/>
    <x v="1"/>
  </r>
  <r>
    <x v="111"/>
    <s v="SK-NNC-01"/>
    <x v="4"/>
    <x v="3"/>
    <d v="2026-03-15T00:00:00"/>
    <d v="2027-06-05T00:00:00"/>
    <n v="100"/>
    <n v="0"/>
    <n v="100"/>
    <n v="46000"/>
    <n v="4600000"/>
    <n v="0"/>
    <n v="221"/>
    <x v="0"/>
    <n v="4600000"/>
    <n v="0"/>
    <x v="1"/>
    <x v="1"/>
  </r>
  <r>
    <x v="112"/>
    <s v="SK-SUN-02"/>
    <x v="5"/>
    <x v="4"/>
    <d v="2025-09-26T00:00:00"/>
    <d v="2027-03-22T00:00:00"/>
    <n v="750"/>
    <n v="0"/>
    <n v="750"/>
    <n v="60000"/>
    <n v="45000000"/>
    <n v="0"/>
    <n v="146"/>
    <x v="0"/>
    <n v="45000000"/>
    <n v="0"/>
    <x v="0"/>
    <x v="0"/>
  </r>
  <r>
    <x v="113"/>
    <s v="MO-HYA-05"/>
    <x v="3"/>
    <x v="0"/>
    <d v="2026-01-08T00:00:00"/>
    <d v="2027-07-03T00:00:00"/>
    <n v="200"/>
    <n v="0"/>
    <n v="200"/>
    <n v="66000"/>
    <n v="13200000"/>
    <n v="0"/>
    <n v="249"/>
    <x v="0"/>
    <n v="13200000"/>
    <n v="0"/>
    <x v="1"/>
    <x v="1"/>
  </r>
  <r>
    <x v="114"/>
    <s v="MO-HYA-05"/>
    <x v="3"/>
    <x v="0"/>
    <d v="2025-08-05T00:00:00"/>
    <d v="2027-01-18T00:00:00"/>
    <n v="200"/>
    <n v="0"/>
    <n v="200"/>
    <n v="71000"/>
    <n v="14200000"/>
    <n v="0"/>
    <n v="83"/>
    <x v="0"/>
    <n v="14200000"/>
    <n v="0"/>
    <x v="0"/>
    <x v="0"/>
  </r>
  <r>
    <x v="115"/>
    <s v="SK-SUN-02"/>
    <x v="5"/>
    <x v="4"/>
    <d v="2026-03-21T00:00:00"/>
    <d v="2027-03-18T00:00:00"/>
    <n v="250"/>
    <n v="0"/>
    <n v="250"/>
    <n v="65000"/>
    <n v="16250000"/>
    <n v="0"/>
    <n v="142"/>
    <x v="0"/>
    <n v="16250000"/>
    <n v="0"/>
    <x v="0"/>
    <x v="0"/>
  </r>
  <r>
    <x v="116"/>
    <s v="CL-C20-03"/>
    <x v="1"/>
    <x v="1"/>
    <d v="2026-02-04T00:00:00"/>
    <d v="2027-02-07T00:00:00"/>
    <n v="750"/>
    <n v="0"/>
    <n v="750"/>
    <n v="37000"/>
    <n v="27750000"/>
    <n v="0"/>
    <n v="103"/>
    <x v="0"/>
    <n v="27750000"/>
    <n v="0"/>
    <x v="0"/>
    <x v="0"/>
  </r>
  <r>
    <x v="117"/>
    <s v="SK-RET-07"/>
    <x v="0"/>
    <x v="0"/>
    <d v="2025-09-14T00:00:00"/>
    <d v="2027-02-25T00:00:00"/>
    <n v="500"/>
    <n v="0"/>
    <n v="500"/>
    <n v="84000"/>
    <n v="42000000"/>
    <n v="0"/>
    <n v="121"/>
    <x v="0"/>
    <n v="42000000"/>
    <n v="0"/>
    <x v="0"/>
    <x v="0"/>
  </r>
  <r>
    <x v="118"/>
    <s v="CL-MCL-08"/>
    <x v="6"/>
    <x v="1"/>
    <d v="2026-02-28T00:00:00"/>
    <d v="2027-09-04T00:00:00"/>
    <n v="100"/>
    <n v="0"/>
    <n v="100"/>
    <n v="30000"/>
    <n v="3000000"/>
    <n v="0"/>
    <n v="312"/>
    <x v="0"/>
    <n v="3000000"/>
    <n v="0"/>
    <x v="1"/>
    <x v="1"/>
  </r>
  <r>
    <x v="119"/>
    <s v="MO-HYA-05"/>
    <x v="3"/>
    <x v="0"/>
    <d v="2025-12-22T00:00:00"/>
    <d v="2027-06-15T00:00:00"/>
    <n v="200"/>
    <n v="0"/>
    <n v="200"/>
    <n v="62000"/>
    <n v="12400000"/>
    <n v="0"/>
    <n v="231"/>
    <x v="0"/>
    <n v="12400000"/>
    <n v="0"/>
    <x v="1"/>
    <x v="1"/>
  </r>
  <r>
    <x v="120"/>
    <s v="MK-CUS-09"/>
    <x v="8"/>
    <x v="2"/>
    <d v="2025-10-29T00:00:00"/>
    <d v="2027-03-23T00:00:00"/>
    <n v="200"/>
    <n v="200"/>
    <n v="0"/>
    <n v="92000"/>
    <n v="18400000"/>
    <n v="18400000"/>
    <n v="147"/>
    <x v="0"/>
    <n v="0"/>
    <n v="0"/>
    <x v="0"/>
    <x v="0"/>
  </r>
  <r>
    <x v="121"/>
    <s v="TN-AHA-04"/>
    <x v="9"/>
    <x v="5"/>
    <d v="2025-12-01T00:00:00"/>
    <d v="2028-08-15T00:00:00"/>
    <n v="300"/>
    <n v="300"/>
    <n v="0"/>
    <n v="49000"/>
    <n v="14700000"/>
    <n v="14700000"/>
    <n v="658"/>
    <x v="0"/>
    <n v="0"/>
    <n v="0"/>
    <x v="1"/>
    <x v="1"/>
  </r>
  <r>
    <x v="122"/>
    <s v="TN-CEN-10"/>
    <x v="7"/>
    <x v="5"/>
    <d v="2025-07-21T00:00:00"/>
    <d v="2027-10-08T00:00:00"/>
    <n v="250"/>
    <n v="250"/>
    <n v="0"/>
    <n v="61000"/>
    <n v="15250000"/>
    <n v="15250000"/>
    <n v="346"/>
    <x v="0"/>
    <n v="0"/>
    <n v="0"/>
    <x v="1"/>
    <x v="1"/>
  </r>
  <r>
    <x v="123"/>
    <s v="MK-LIP-06"/>
    <x v="2"/>
    <x v="2"/>
    <d v="2025-06-01T00:00:00"/>
    <d v="2027-05-23T00:00:00"/>
    <n v="200"/>
    <n v="200"/>
    <n v="0"/>
    <n v="29000"/>
    <n v="5800000"/>
    <n v="5800000"/>
    <n v="208"/>
    <x v="0"/>
    <n v="0"/>
    <n v="0"/>
    <x v="1"/>
    <x v="1"/>
  </r>
  <r>
    <x v="124"/>
    <s v="SK-NNC-01"/>
    <x v="4"/>
    <x v="3"/>
    <d v="2025-08-17T00:00:00"/>
    <d v="2027-05-25T00:00:00"/>
    <n v="100"/>
    <n v="0"/>
    <n v="100"/>
    <n v="45000"/>
    <n v="4500000"/>
    <n v="0"/>
    <n v="210"/>
    <x v="0"/>
    <n v="4500000"/>
    <n v="0"/>
    <x v="1"/>
    <x v="1"/>
  </r>
  <r>
    <x v="125"/>
    <s v="MK-CUS-09"/>
    <x v="8"/>
    <x v="2"/>
    <d v="2025-12-31T00:00:00"/>
    <d v="2027-06-13T00:00:00"/>
    <n v="200"/>
    <n v="200"/>
    <n v="0"/>
    <n v="97000"/>
    <n v="19400000"/>
    <n v="19400000"/>
    <n v="229"/>
    <x v="0"/>
    <n v="0"/>
    <n v="0"/>
    <x v="1"/>
    <x v="1"/>
  </r>
  <r>
    <x v="126"/>
    <s v="SK-NNC-01"/>
    <x v="4"/>
    <x v="3"/>
    <d v="2025-06-26T00:00:00"/>
    <d v="2026-12-10T00:00:00"/>
    <n v="500"/>
    <n v="0"/>
    <n v="500"/>
    <n v="49000"/>
    <n v="24500000"/>
    <n v="0"/>
    <n v="44"/>
    <x v="0"/>
    <n v="24500000"/>
    <n v="24500000"/>
    <x v="3"/>
    <x v="3"/>
  </r>
  <r>
    <x v="127"/>
    <s v="TN-AHA-04"/>
    <x v="9"/>
    <x v="5"/>
    <d v="2025-12-24T00:00:00"/>
    <d v="2026-12-27T00:00:00"/>
    <n v="250"/>
    <n v="0"/>
    <n v="250"/>
    <n v="57000"/>
    <n v="14250000"/>
    <n v="0"/>
    <n v="61"/>
    <x v="0"/>
    <n v="14250000"/>
    <n v="0"/>
    <x v="0"/>
    <x v="0"/>
  </r>
  <r>
    <x v="128"/>
    <s v="SK-RET-07"/>
    <x v="0"/>
    <x v="0"/>
    <d v="2025-08-17T00:00:00"/>
    <d v="2027-05-11T00:00:00"/>
    <n v="100"/>
    <n v="100"/>
    <n v="0"/>
    <n v="85000"/>
    <n v="8500000"/>
    <n v="8500000"/>
    <n v="196"/>
    <x v="0"/>
    <n v="0"/>
    <n v="0"/>
    <x v="1"/>
    <x v="1"/>
  </r>
  <r>
    <x v="129"/>
    <s v="CL-MCL-08"/>
    <x v="6"/>
    <x v="1"/>
    <d v="2025-06-07T00:00:00"/>
    <d v="2028-06-09T00:00:00"/>
    <n v="300"/>
    <n v="0"/>
    <n v="300"/>
    <n v="28000"/>
    <n v="8400000"/>
    <n v="0"/>
    <n v="591"/>
    <x v="0"/>
    <n v="8400000"/>
    <n v="0"/>
    <x v="1"/>
    <x v="1"/>
  </r>
  <r>
    <x v="130"/>
    <s v="SK-SUN-02"/>
    <x v="5"/>
    <x v="4"/>
    <d v="2026-03-21T00:00:00"/>
    <d v="2027-03-15T00:00:00"/>
    <n v="200"/>
    <n v="0"/>
    <n v="200"/>
    <n v="61000"/>
    <n v="12200000"/>
    <n v="0"/>
    <n v="139"/>
    <x v="0"/>
    <n v="12200000"/>
    <n v="0"/>
    <x v="0"/>
    <x v="0"/>
  </r>
  <r>
    <x v="131"/>
    <s v="MO-HYA-05"/>
    <x v="3"/>
    <x v="0"/>
    <d v="2025-06-28T00:00:00"/>
    <d v="2027-10-05T00:00:00"/>
    <n v="500"/>
    <n v="500"/>
    <n v="0"/>
    <n v="65000"/>
    <n v="32500000"/>
    <n v="32500000"/>
    <n v="343"/>
    <x v="0"/>
    <n v="0"/>
    <n v="0"/>
    <x v="1"/>
    <x v="1"/>
  </r>
  <r>
    <x v="132"/>
    <s v="TN-CEN-10"/>
    <x v="7"/>
    <x v="5"/>
    <d v="2025-10-04T00:00:00"/>
    <d v="2027-03-04T00:00:00"/>
    <n v="250"/>
    <n v="200"/>
    <n v="50"/>
    <n v="60000"/>
    <n v="15000000"/>
    <n v="12000000"/>
    <n v="128"/>
    <x v="0"/>
    <n v="3000000"/>
    <n v="0"/>
    <x v="0"/>
    <x v="0"/>
  </r>
  <r>
    <x v="133"/>
    <s v="TN-AHA-04"/>
    <x v="9"/>
    <x v="5"/>
    <d v="2025-08-06T00:00:00"/>
    <d v="2027-08-03T00:00:00"/>
    <n v="100"/>
    <n v="100"/>
    <n v="0"/>
    <n v="53000"/>
    <n v="5300000"/>
    <n v="5300000"/>
    <n v="280"/>
    <x v="0"/>
    <n v="0"/>
    <n v="0"/>
    <x v="1"/>
    <x v="1"/>
  </r>
  <r>
    <x v="134"/>
    <s v="SK-SUN-02"/>
    <x v="5"/>
    <x v="4"/>
    <d v="2025-09-19T00:00:00"/>
    <d v="2027-09-15T00:00:00"/>
    <n v="300"/>
    <n v="0"/>
    <n v="300"/>
    <n v="64000"/>
    <n v="19200000"/>
    <n v="0"/>
    <n v="323"/>
    <x v="0"/>
    <n v="19200000"/>
    <n v="0"/>
    <x v="1"/>
    <x v="1"/>
  </r>
  <r>
    <x v="135"/>
    <s v="MK-CUS-09"/>
    <x v="8"/>
    <x v="2"/>
    <d v="2025-09-09T00:00:00"/>
    <d v="2027-06-16T00:00:00"/>
    <n v="300"/>
    <n v="300"/>
    <n v="0"/>
    <n v="95000"/>
    <n v="28500000"/>
    <n v="28500000"/>
    <n v="232"/>
    <x v="0"/>
    <n v="0"/>
    <n v="0"/>
    <x v="1"/>
    <x v="1"/>
  </r>
  <r>
    <x v="136"/>
    <s v="CL-MCL-08"/>
    <x v="6"/>
    <x v="1"/>
    <d v="2026-01-15T00:00:00"/>
    <d v="2028-01-10T00:00:00"/>
    <n v="200"/>
    <n v="0"/>
    <n v="200"/>
    <n v="30000"/>
    <n v="6000000"/>
    <n v="0"/>
    <n v="440"/>
    <x v="0"/>
    <n v="6000000"/>
    <n v="0"/>
    <x v="1"/>
    <x v="1"/>
  </r>
  <r>
    <x v="137"/>
    <s v="MK-LIP-06"/>
    <x v="2"/>
    <x v="2"/>
    <d v="2025-09-20T00:00:00"/>
    <d v="2027-03-14T00:00:00"/>
    <n v="100"/>
    <n v="100"/>
    <n v="0"/>
    <n v="33000"/>
    <n v="3300000"/>
    <n v="3300000"/>
    <n v="138"/>
    <x v="0"/>
    <n v="0"/>
    <n v="0"/>
    <x v="0"/>
    <x v="0"/>
  </r>
  <r>
    <x v="138"/>
    <s v="CL-MCL-08"/>
    <x v="6"/>
    <x v="1"/>
    <d v="2025-10-15T00:00:00"/>
    <d v="2027-03-17T00:00:00"/>
    <n v="100"/>
    <n v="100"/>
    <n v="0"/>
    <n v="29000"/>
    <n v="2900000"/>
    <n v="2900000"/>
    <n v="141"/>
    <x v="0"/>
    <n v="0"/>
    <n v="0"/>
    <x v="0"/>
    <x v="0"/>
  </r>
  <r>
    <x v="139"/>
    <s v="TN-AHA-04"/>
    <x v="9"/>
    <x v="5"/>
    <d v="2026-01-09T00:00:00"/>
    <d v="2027-07-07T00:00:00"/>
    <n v="1000"/>
    <n v="0"/>
    <n v="1000"/>
    <n v="51000"/>
    <n v="51000000"/>
    <n v="0"/>
    <n v="253"/>
    <x v="0"/>
    <n v="51000000"/>
    <n v="0"/>
    <x v="1"/>
    <x v="1"/>
  </r>
  <r>
    <x v="140"/>
    <s v="MK-LIP-06"/>
    <x v="2"/>
    <x v="2"/>
    <d v="2025-09-26T00:00:00"/>
    <d v="2027-04-02T00:00:00"/>
    <n v="500"/>
    <n v="500"/>
    <n v="0"/>
    <n v="33000"/>
    <n v="16500000"/>
    <n v="16500000"/>
    <n v="157"/>
    <x v="0"/>
    <n v="0"/>
    <n v="0"/>
    <x v="0"/>
    <x v="0"/>
  </r>
  <r>
    <x v="141"/>
    <s v="MK-CUS-09"/>
    <x v="8"/>
    <x v="2"/>
    <d v="2025-12-11T00:00:00"/>
    <d v="2026-11-28T00:00:00"/>
    <n v="250"/>
    <n v="0"/>
    <n v="250"/>
    <n v="97000"/>
    <n v="24250000"/>
    <n v="0"/>
    <n v="32"/>
    <x v="0"/>
    <n v="24250000"/>
    <n v="24250000"/>
    <x v="3"/>
    <x v="3"/>
  </r>
  <r>
    <x v="142"/>
    <s v="MO-HYA-05"/>
    <x v="3"/>
    <x v="0"/>
    <d v="2025-09-26T00:00:00"/>
    <d v="2027-09-25T00:00:00"/>
    <n v="300"/>
    <n v="0"/>
    <n v="300"/>
    <n v="60000"/>
    <n v="18000000"/>
    <n v="0"/>
    <n v="333"/>
    <x v="0"/>
    <n v="18000000"/>
    <n v="0"/>
    <x v="1"/>
    <x v="1"/>
  </r>
  <r>
    <x v="143"/>
    <s v="SK-NNC-01"/>
    <x v="4"/>
    <x v="3"/>
    <d v="2025-08-29T00:00:00"/>
    <d v="2027-02-10T00:00:00"/>
    <n v="300"/>
    <n v="0"/>
    <n v="300"/>
    <n v="47000"/>
    <n v="14100000"/>
    <n v="0"/>
    <n v="106"/>
    <x v="0"/>
    <n v="14100000"/>
    <n v="0"/>
    <x v="0"/>
    <x v="0"/>
  </r>
  <r>
    <x v="144"/>
    <s v="TN-AHA-04"/>
    <x v="9"/>
    <x v="5"/>
    <d v="2026-02-14T00:00:00"/>
    <d v="2027-07-16T00:00:00"/>
    <n v="250"/>
    <n v="250"/>
    <n v="0"/>
    <n v="52000"/>
    <n v="13000000"/>
    <n v="13000000"/>
    <n v="262"/>
    <x v="0"/>
    <n v="0"/>
    <n v="0"/>
    <x v="1"/>
    <x v="1"/>
  </r>
  <r>
    <x v="145"/>
    <s v="SK-RET-07"/>
    <x v="0"/>
    <x v="0"/>
    <d v="2025-10-16T00:00:00"/>
    <d v="2027-10-03T00:00:00"/>
    <n v="300"/>
    <n v="0"/>
    <n v="300"/>
    <n v="78000"/>
    <n v="23400000"/>
    <n v="0"/>
    <n v="341"/>
    <x v="0"/>
    <n v="23400000"/>
    <n v="0"/>
    <x v="1"/>
    <x v="1"/>
  </r>
  <r>
    <x v="146"/>
    <s v="SK-NNC-01"/>
    <x v="4"/>
    <x v="3"/>
    <d v="2025-09-09T00:00:00"/>
    <d v="2026-12-01T00:00:00"/>
    <n v="300"/>
    <n v="300"/>
    <n v="0"/>
    <n v="52000"/>
    <n v="15600000"/>
    <n v="15600000"/>
    <n v="35"/>
    <x v="0"/>
    <n v="0"/>
    <n v="0"/>
    <x v="3"/>
    <x v="3"/>
  </r>
  <r>
    <x v="147"/>
    <s v="MK-LIP-06"/>
    <x v="2"/>
    <x v="2"/>
    <d v="2025-09-02T00:00:00"/>
    <d v="2027-01-19T00:00:00"/>
    <n v="500"/>
    <n v="500"/>
    <n v="0"/>
    <n v="31000"/>
    <n v="15500000"/>
    <n v="15500000"/>
    <n v="84"/>
    <x v="0"/>
    <n v="0"/>
    <n v="0"/>
    <x v="0"/>
    <x v="0"/>
  </r>
  <r>
    <x v="148"/>
    <s v="SK-SUN-02"/>
    <x v="5"/>
    <x v="4"/>
    <d v="2025-10-15T00:00:00"/>
    <d v="2027-03-31T00:00:00"/>
    <n v="100"/>
    <n v="100"/>
    <n v="0"/>
    <n v="62000"/>
    <n v="6200000"/>
    <n v="6200000"/>
    <n v="155"/>
    <x v="0"/>
    <n v="0"/>
    <n v="0"/>
    <x v="0"/>
    <x v="0"/>
  </r>
  <r>
    <x v="149"/>
    <s v="MK-LIP-06"/>
    <x v="2"/>
    <x v="2"/>
    <d v="2025-07-30T00:00:00"/>
    <d v="2027-01-13T00:00:00"/>
    <n v="500"/>
    <n v="0"/>
    <n v="500"/>
    <n v="32000"/>
    <n v="16000000"/>
    <n v="0"/>
    <n v="78"/>
    <x v="0"/>
    <n v="16000000"/>
    <n v="0"/>
    <x v="0"/>
    <x v="0"/>
  </r>
  <r>
    <x v="150"/>
    <s v="CL-C20-03"/>
    <x v="1"/>
    <x v="1"/>
    <d v="2025-12-30T00:00:00"/>
    <d v="2027-07-01T00:00:00"/>
    <n v="300"/>
    <n v="0"/>
    <n v="300"/>
    <n v="33000"/>
    <n v="9900000"/>
    <n v="0"/>
    <n v="247"/>
    <x v="0"/>
    <n v="9900000"/>
    <n v="0"/>
    <x v="1"/>
    <x v="1"/>
  </r>
  <r>
    <x v="151"/>
    <s v="TN-AHA-04"/>
    <x v="9"/>
    <x v="5"/>
    <d v="2025-08-28T00:00:00"/>
    <d v="2027-02-28T00:00:00"/>
    <n v="300"/>
    <n v="0"/>
    <n v="300"/>
    <n v="55000"/>
    <n v="16500000"/>
    <n v="0"/>
    <n v="124"/>
    <x v="0"/>
    <n v="16500000"/>
    <n v="0"/>
    <x v="0"/>
    <x v="0"/>
  </r>
  <r>
    <x v="152"/>
    <s v="SK-RET-07"/>
    <x v="0"/>
    <x v="0"/>
    <d v="2025-09-12T00:00:00"/>
    <d v="2027-06-12T00:00:00"/>
    <n v="300"/>
    <n v="300"/>
    <n v="0"/>
    <n v="75000"/>
    <n v="22500000"/>
    <n v="22500000"/>
    <n v="228"/>
    <x v="0"/>
    <n v="0"/>
    <n v="0"/>
    <x v="1"/>
    <x v="1"/>
  </r>
  <r>
    <x v="153"/>
    <s v="SK-RET-07"/>
    <x v="0"/>
    <x v="0"/>
    <d v="2025-08-02T00:00:00"/>
    <d v="2028-08-06T00:00:00"/>
    <n v="250"/>
    <n v="0"/>
    <n v="250"/>
    <n v="81000"/>
    <n v="20250000"/>
    <n v="0"/>
    <n v="649"/>
    <x v="0"/>
    <n v="20250000"/>
    <n v="0"/>
    <x v="1"/>
    <x v="1"/>
  </r>
  <r>
    <x v="154"/>
    <s v="SK-SUN-02"/>
    <x v="5"/>
    <x v="4"/>
    <d v="2025-09-12T00:00:00"/>
    <d v="2028-03-02T00:00:00"/>
    <n v="200"/>
    <n v="200"/>
    <n v="0"/>
    <n v="60000"/>
    <n v="12000000"/>
    <n v="12000000"/>
    <n v="492"/>
    <x v="0"/>
    <n v="0"/>
    <n v="0"/>
    <x v="1"/>
    <x v="1"/>
  </r>
  <r>
    <x v="155"/>
    <s v="CL-C20-03"/>
    <x v="1"/>
    <x v="1"/>
    <d v="2025-11-26T00:00:00"/>
    <d v="2028-08-27T00:00:00"/>
    <n v="500"/>
    <n v="0"/>
    <n v="500"/>
    <n v="36000"/>
    <n v="18000000"/>
    <n v="0"/>
    <n v="670"/>
    <x v="0"/>
    <n v="18000000"/>
    <n v="0"/>
    <x v="1"/>
    <x v="1"/>
  </r>
  <r>
    <x v="156"/>
    <s v="SK-NNC-01"/>
    <x v="4"/>
    <x v="3"/>
    <d v="2026-01-17T00:00:00"/>
    <d v="2027-01-25T00:00:00"/>
    <n v="200"/>
    <n v="0"/>
    <n v="200"/>
    <n v="45000"/>
    <n v="9000000"/>
    <n v="0"/>
    <n v="90"/>
    <x v="0"/>
    <n v="9000000"/>
    <n v="0"/>
    <x v="0"/>
    <x v="0"/>
  </r>
  <r>
    <x v="157"/>
    <s v="MO-HYA-05"/>
    <x v="3"/>
    <x v="0"/>
    <d v="2026-03-16T00:00:00"/>
    <d v="2027-06-20T00:00:00"/>
    <n v="500"/>
    <n v="0"/>
    <n v="500"/>
    <n v="64000"/>
    <n v="32000000"/>
    <n v="0"/>
    <n v="236"/>
    <x v="0"/>
    <n v="32000000"/>
    <n v="0"/>
    <x v="1"/>
    <x v="1"/>
  </r>
  <r>
    <x v="158"/>
    <s v="TN-CEN-10"/>
    <x v="7"/>
    <x v="5"/>
    <d v="2025-09-26T00:00:00"/>
    <d v="2027-03-19T00:00:00"/>
    <n v="500"/>
    <n v="0"/>
    <n v="500"/>
    <n v="59000"/>
    <n v="29500000"/>
    <n v="0"/>
    <n v="143"/>
    <x v="0"/>
    <n v="29500000"/>
    <n v="0"/>
    <x v="0"/>
    <x v="0"/>
  </r>
  <r>
    <x v="159"/>
    <s v="TN-AHA-04"/>
    <x v="9"/>
    <x v="5"/>
    <d v="2025-12-01T00:00:00"/>
    <d v="2026-11-18T00:00:00"/>
    <n v="200"/>
    <n v="0"/>
    <n v="200"/>
    <n v="51000"/>
    <n v="10200000"/>
    <n v="0"/>
    <n v="22"/>
    <x v="2"/>
    <n v="10200000"/>
    <n v="10200000"/>
    <x v="3"/>
    <x v="3"/>
  </r>
  <r>
    <x v="160"/>
    <s v="SK-SUN-02"/>
    <x v="5"/>
    <x v="4"/>
    <d v="2025-09-03T00:00:00"/>
    <d v="2028-08-17T00:00:00"/>
    <n v="300"/>
    <n v="0"/>
    <n v="300"/>
    <n v="65000"/>
    <n v="19500000"/>
    <n v="0"/>
    <n v="660"/>
    <x v="0"/>
    <n v="19500000"/>
    <n v="0"/>
    <x v="1"/>
    <x v="1"/>
  </r>
  <r>
    <x v="161"/>
    <s v="MO-HYA-05"/>
    <x v="3"/>
    <x v="0"/>
    <d v="2025-10-26T00:00:00"/>
    <d v="2027-04-18T00:00:00"/>
    <n v="250"/>
    <n v="150"/>
    <n v="100"/>
    <n v="65000"/>
    <n v="16250000"/>
    <n v="9750000"/>
    <n v="173"/>
    <x v="0"/>
    <n v="6500000"/>
    <n v="0"/>
    <x v="0"/>
    <x v="0"/>
  </r>
  <r>
    <x v="162"/>
    <s v="CL-MCL-08"/>
    <x v="6"/>
    <x v="1"/>
    <d v="2025-06-23T00:00:00"/>
    <d v="2027-03-18T00:00:00"/>
    <n v="300"/>
    <n v="300"/>
    <n v="0"/>
    <n v="26000"/>
    <n v="7800000"/>
    <n v="7800000"/>
    <n v="142"/>
    <x v="0"/>
    <n v="0"/>
    <n v="0"/>
    <x v="0"/>
    <x v="0"/>
  </r>
  <r>
    <x v="163"/>
    <s v="CL-MCL-08"/>
    <x v="6"/>
    <x v="1"/>
    <d v="2025-12-27T00:00:00"/>
    <d v="2026-12-21T00:00:00"/>
    <n v="500"/>
    <n v="0"/>
    <n v="500"/>
    <n v="27000"/>
    <n v="13500000"/>
    <n v="0"/>
    <n v="55"/>
    <x v="0"/>
    <n v="13500000"/>
    <n v="13500000"/>
    <x v="3"/>
    <x v="3"/>
  </r>
  <r>
    <x v="164"/>
    <s v="TN-AHA-04"/>
    <x v="9"/>
    <x v="5"/>
    <d v="2025-10-11T00:00:00"/>
    <d v="2027-09-23T00:00:00"/>
    <n v="300"/>
    <n v="0"/>
    <n v="300"/>
    <n v="48000"/>
    <n v="14400000"/>
    <n v="0"/>
    <n v="331"/>
    <x v="0"/>
    <n v="14400000"/>
    <n v="0"/>
    <x v="1"/>
    <x v="1"/>
  </r>
  <r>
    <x v="165"/>
    <s v="TN-CEN-10"/>
    <x v="7"/>
    <x v="5"/>
    <d v="2025-07-21T00:00:00"/>
    <d v="2027-07-08T00:00:00"/>
    <n v="500"/>
    <n v="0"/>
    <n v="500"/>
    <n v="62000"/>
    <n v="31000000"/>
    <n v="0"/>
    <n v="254"/>
    <x v="0"/>
    <n v="31000000"/>
    <n v="0"/>
    <x v="1"/>
    <x v="1"/>
  </r>
  <r>
    <x v="166"/>
    <s v="SK-RET-07"/>
    <x v="0"/>
    <x v="0"/>
    <d v="2026-02-12T00:00:00"/>
    <d v="2027-07-17T00:00:00"/>
    <n v="200"/>
    <n v="0"/>
    <n v="200"/>
    <n v="78000"/>
    <n v="15600000"/>
    <n v="0"/>
    <n v="263"/>
    <x v="0"/>
    <n v="15600000"/>
    <n v="0"/>
    <x v="1"/>
    <x v="1"/>
  </r>
  <r>
    <x v="167"/>
    <s v="MK-LIP-06"/>
    <x v="2"/>
    <x v="2"/>
    <d v="2025-06-01T00:00:00"/>
    <d v="2026-11-30T00:00:00"/>
    <n v="200"/>
    <n v="0"/>
    <n v="200"/>
    <n v="34000"/>
    <n v="6800000"/>
    <n v="0"/>
    <n v="34"/>
    <x v="0"/>
    <n v="6800000"/>
    <n v="6800000"/>
    <x v="3"/>
    <x v="3"/>
  </r>
  <r>
    <x v="168"/>
    <s v="MO-HYA-05"/>
    <x v="3"/>
    <x v="0"/>
    <d v="2025-10-15T00:00:00"/>
    <d v="2027-04-22T00:00:00"/>
    <n v="100"/>
    <n v="0"/>
    <n v="100"/>
    <n v="68000"/>
    <n v="6800000"/>
    <n v="0"/>
    <n v="177"/>
    <x v="0"/>
    <n v="6800000"/>
    <n v="0"/>
    <x v="0"/>
    <x v="0"/>
  </r>
  <r>
    <x v="169"/>
    <s v="CL-C20-03"/>
    <x v="1"/>
    <x v="1"/>
    <d v="2025-08-02T00:00:00"/>
    <d v="2027-05-09T00:00:00"/>
    <n v="750"/>
    <n v="0"/>
    <n v="750"/>
    <n v="33000"/>
    <n v="24750000"/>
    <n v="0"/>
    <n v="194"/>
    <x v="0"/>
    <n v="24750000"/>
    <n v="0"/>
    <x v="1"/>
    <x v="1"/>
  </r>
  <r>
    <x v="170"/>
    <s v="SK-RET-07"/>
    <x v="0"/>
    <x v="0"/>
    <d v="2025-12-27T00:00:00"/>
    <d v="2027-10-04T00:00:00"/>
    <n v="250"/>
    <n v="0"/>
    <n v="250"/>
    <n v="85000"/>
    <n v="21250000"/>
    <n v="0"/>
    <n v="342"/>
    <x v="0"/>
    <n v="21250000"/>
    <n v="0"/>
    <x v="1"/>
    <x v="1"/>
  </r>
  <r>
    <x v="171"/>
    <s v="CL-C20-03"/>
    <x v="1"/>
    <x v="1"/>
    <d v="2025-11-29T00:00:00"/>
    <d v="2027-05-19T00:00:00"/>
    <n v="200"/>
    <n v="0"/>
    <n v="200"/>
    <n v="36000"/>
    <n v="7200000"/>
    <n v="0"/>
    <n v="204"/>
    <x v="0"/>
    <n v="7200000"/>
    <n v="0"/>
    <x v="1"/>
    <x v="1"/>
  </r>
  <r>
    <x v="172"/>
    <s v="CL-MCL-08"/>
    <x v="6"/>
    <x v="1"/>
    <d v="2025-11-08T00:00:00"/>
    <d v="2027-07-31T00:00:00"/>
    <n v="300"/>
    <n v="0"/>
    <n v="300"/>
    <n v="28000"/>
    <n v="8400000"/>
    <n v="0"/>
    <n v="277"/>
    <x v="0"/>
    <n v="8400000"/>
    <n v="0"/>
    <x v="1"/>
    <x v="1"/>
  </r>
  <r>
    <x v="173"/>
    <s v="SK-SUN-02"/>
    <x v="5"/>
    <x v="4"/>
    <d v="2025-07-19T00:00:00"/>
    <d v="2027-01-19T00:00:00"/>
    <n v="250"/>
    <n v="250"/>
    <n v="0"/>
    <n v="58000"/>
    <n v="14500000"/>
    <n v="14500000"/>
    <n v="84"/>
    <x v="0"/>
    <n v="0"/>
    <n v="0"/>
    <x v="0"/>
    <x v="0"/>
  </r>
  <r>
    <x v="174"/>
    <s v="MK-LIP-06"/>
    <x v="2"/>
    <x v="2"/>
    <d v="2025-08-02T00:00:00"/>
    <d v="2027-07-24T00:00:00"/>
    <n v="200"/>
    <n v="0"/>
    <n v="200"/>
    <n v="35000"/>
    <n v="7000000"/>
    <n v="0"/>
    <n v="270"/>
    <x v="0"/>
    <n v="7000000"/>
    <n v="0"/>
    <x v="1"/>
    <x v="1"/>
  </r>
  <r>
    <x v="175"/>
    <s v="SK-RET-07"/>
    <x v="0"/>
    <x v="0"/>
    <d v="2025-12-28T00:00:00"/>
    <d v="2026-10-08T00:00:00"/>
    <n v="200"/>
    <n v="0"/>
    <n v="200"/>
    <n v="87000"/>
    <n v="17400000"/>
    <n v="0"/>
    <n v="-19"/>
    <x v="1"/>
    <n v="17400000"/>
    <n v="17400000"/>
    <x v="2"/>
    <x v="2"/>
  </r>
  <r>
    <x v="176"/>
    <s v="CL-MCL-08"/>
    <x v="6"/>
    <x v="1"/>
    <d v="2025-06-19T00:00:00"/>
    <d v="2025-11-14T00:00:00"/>
    <n v="500"/>
    <n v="500"/>
    <n v="0"/>
    <n v="26000"/>
    <n v="13000000"/>
    <n v="13000000"/>
    <n v="-347"/>
    <x v="1"/>
    <n v="0"/>
    <n v="0"/>
    <x v="2"/>
    <x v="2"/>
  </r>
  <r>
    <x v="177"/>
    <s v="SK-SUN-02"/>
    <x v="5"/>
    <x v="4"/>
    <d v="2025-09-21T00:00:00"/>
    <d v="2027-06-08T00:00:00"/>
    <n v="500"/>
    <n v="500"/>
    <n v="0"/>
    <n v="58000"/>
    <n v="29000000"/>
    <n v="29000000"/>
    <n v="224"/>
    <x v="0"/>
    <n v="0"/>
    <n v="0"/>
    <x v="1"/>
    <x v="1"/>
  </r>
  <r>
    <x v="178"/>
    <s v="SK-NNC-01"/>
    <x v="4"/>
    <x v="3"/>
    <d v="2026-02-19T00:00:00"/>
    <d v="2027-08-04T00:00:00"/>
    <n v="500"/>
    <n v="0"/>
    <n v="500"/>
    <n v="46000"/>
    <n v="23000000"/>
    <n v="0"/>
    <n v="281"/>
    <x v="0"/>
    <n v="23000000"/>
    <n v="0"/>
    <x v="1"/>
    <x v="1"/>
  </r>
  <r>
    <x v="179"/>
    <s v="TN-CEN-10"/>
    <x v="7"/>
    <x v="5"/>
    <d v="2025-11-09T00:00:00"/>
    <d v="2026-08-13T00:00:00"/>
    <n v="1000"/>
    <n v="0"/>
    <n v="1000"/>
    <n v="53000"/>
    <n v="53000000"/>
    <n v="0"/>
    <n v="-75"/>
    <x v="1"/>
    <n v="53000000"/>
    <n v="53000000"/>
    <x v="2"/>
    <x v="2"/>
  </r>
  <r>
    <x v="180"/>
    <s v="SK-RET-07"/>
    <x v="0"/>
    <x v="0"/>
    <d v="2025-06-08T00:00:00"/>
    <d v="2025-09-13T00:00:00"/>
    <n v="200"/>
    <n v="200"/>
    <n v="0"/>
    <n v="81000"/>
    <n v="16200000"/>
    <n v="16200000"/>
    <n v="-409"/>
    <x v="1"/>
    <n v="0"/>
    <n v="0"/>
    <x v="2"/>
    <x v="2"/>
  </r>
  <r>
    <x v="181"/>
    <s v="CL-MCL-08"/>
    <x v="6"/>
    <x v="1"/>
    <d v="2025-07-24T00:00:00"/>
    <d v="2026-04-09T00:00:00"/>
    <n v="200"/>
    <n v="0"/>
    <n v="200"/>
    <n v="25000"/>
    <n v="5000000"/>
    <n v="0"/>
    <n v="-201"/>
    <x v="1"/>
    <n v="5000000"/>
    <n v="5000000"/>
    <x v="2"/>
    <x v="2"/>
  </r>
  <r>
    <x v="182"/>
    <s v="CL-MCL-08"/>
    <x v="6"/>
    <x v="1"/>
    <d v="2026-03-18T00:00:00"/>
    <d v="2026-09-12T00:00:00"/>
    <n v="300"/>
    <n v="0"/>
    <n v="300"/>
    <n v="30000"/>
    <n v="9000000"/>
    <n v="0"/>
    <n v="-45"/>
    <x v="1"/>
    <n v="9000000"/>
    <n v="9000000"/>
    <x v="2"/>
    <x v="2"/>
  </r>
  <r>
    <x v="183"/>
    <s v="TN-AHA-04"/>
    <x v="9"/>
    <x v="5"/>
    <d v="2025-11-12T00:00:00"/>
    <d v="2026-04-09T00:00:00"/>
    <n v="200"/>
    <n v="200"/>
    <n v="0"/>
    <n v="49000"/>
    <n v="9800000"/>
    <n v="9800000"/>
    <n v="-201"/>
    <x v="1"/>
    <n v="0"/>
    <n v="0"/>
    <x v="2"/>
    <x v="2"/>
  </r>
  <r>
    <x v="184"/>
    <s v="SK-RET-07"/>
    <x v="0"/>
    <x v="0"/>
    <d v="2026-02-18T00:00:00"/>
    <d v="2027-02-18T00:00:00"/>
    <n v="100"/>
    <n v="0"/>
    <n v="100"/>
    <n v="87000"/>
    <n v="8700000"/>
    <n v="0"/>
    <n v="114"/>
    <x v="0"/>
    <n v="8700000"/>
    <n v="0"/>
    <x v="0"/>
    <x v="0"/>
  </r>
  <r>
    <x v="185"/>
    <s v="CL-C20-03"/>
    <x v="1"/>
    <x v="1"/>
    <d v="2025-07-06T00:00:00"/>
    <d v="2028-07-03T00:00:00"/>
    <n v="750"/>
    <n v="0"/>
    <n v="750"/>
    <n v="38000"/>
    <n v="28500000"/>
    <n v="0"/>
    <n v="615"/>
    <x v="0"/>
    <n v="28500000"/>
    <n v="0"/>
    <x v="1"/>
    <x v="1"/>
  </r>
  <r>
    <x v="186"/>
    <s v="MO-HYA-05"/>
    <x v="3"/>
    <x v="0"/>
    <d v="2025-06-11T00:00:00"/>
    <d v="2026-11-24T00:00:00"/>
    <n v="250"/>
    <n v="250"/>
    <n v="0"/>
    <n v="66000"/>
    <n v="16500000"/>
    <n v="16500000"/>
    <n v="28"/>
    <x v="2"/>
    <n v="0"/>
    <n v="0"/>
    <x v="3"/>
    <x v="3"/>
  </r>
  <r>
    <x v="187"/>
    <s v="TN-AHA-04"/>
    <x v="9"/>
    <x v="5"/>
    <d v="2026-02-16T00:00:00"/>
    <d v="2026-11-27T00:00:00"/>
    <n v="250"/>
    <n v="0"/>
    <n v="250"/>
    <n v="52000"/>
    <n v="13000000"/>
    <n v="0"/>
    <n v="31"/>
    <x v="0"/>
    <n v="13000000"/>
    <n v="13000000"/>
    <x v="3"/>
    <x v="3"/>
  </r>
  <r>
    <x v="188"/>
    <s v="CL-C20-03"/>
    <x v="1"/>
    <x v="1"/>
    <d v="2026-03-07T00:00:00"/>
    <d v="2026-08-18T00:00:00"/>
    <n v="250"/>
    <n v="0"/>
    <n v="250"/>
    <n v="37000"/>
    <n v="9250000"/>
    <n v="0"/>
    <n v="-70"/>
    <x v="1"/>
    <n v="9250000"/>
    <n v="9250000"/>
    <x v="2"/>
    <x v="2"/>
  </r>
  <r>
    <x v="189"/>
    <s v="SK-RET-07"/>
    <x v="0"/>
    <x v="0"/>
    <d v="2025-10-06T00:00:00"/>
    <d v="2027-04-06T00:00:00"/>
    <n v="100"/>
    <n v="100"/>
    <n v="0"/>
    <n v="88000"/>
    <n v="8800000"/>
    <n v="8800000"/>
    <n v="161"/>
    <x v="0"/>
    <n v="0"/>
    <n v="0"/>
    <x v="0"/>
    <x v="0"/>
  </r>
  <r>
    <x v="190"/>
    <s v="MK-CUS-09"/>
    <x v="8"/>
    <x v="2"/>
    <d v="2025-07-10T00:00:00"/>
    <d v="2027-07-14T00:00:00"/>
    <n v="200"/>
    <n v="200"/>
    <n v="0"/>
    <n v="90000"/>
    <n v="18000000"/>
    <n v="18000000"/>
    <n v="260"/>
    <x v="0"/>
    <n v="0"/>
    <n v="0"/>
    <x v="1"/>
    <x v="1"/>
  </r>
  <r>
    <x v="191"/>
    <s v="MK-LIP-06"/>
    <x v="2"/>
    <x v="2"/>
    <d v="2026-01-21T00:00:00"/>
    <d v="2026-10-28T00:00:00"/>
    <n v="300"/>
    <n v="0"/>
    <n v="300"/>
    <n v="32000"/>
    <n v="9600000"/>
    <n v="0"/>
    <n v="1"/>
    <x v="2"/>
    <n v="9600000"/>
    <n v="9600000"/>
    <x v="3"/>
    <x v="3"/>
  </r>
  <r>
    <x v="192"/>
    <s v="SK-SUN-02"/>
    <x v="5"/>
    <x v="4"/>
    <d v="2026-01-01T00:00:00"/>
    <d v="2026-12-17T00:00:00"/>
    <n v="750"/>
    <n v="0"/>
    <n v="750"/>
    <n v="59000"/>
    <n v="44250000"/>
    <n v="0"/>
    <n v="51"/>
    <x v="0"/>
    <n v="44250000"/>
    <n v="44250000"/>
    <x v="3"/>
    <x v="3"/>
  </r>
  <r>
    <x v="193"/>
    <s v="TN-CEN-10"/>
    <x v="7"/>
    <x v="5"/>
    <d v="2025-07-11T00:00:00"/>
    <d v="2027-01-08T00:00:00"/>
    <n v="250"/>
    <n v="250"/>
    <n v="0"/>
    <n v="57000"/>
    <n v="14250000"/>
    <n v="14250000"/>
    <n v="73"/>
    <x v="0"/>
    <n v="0"/>
    <n v="0"/>
    <x v="0"/>
    <x v="0"/>
  </r>
  <r>
    <x v="194"/>
    <s v="TN-CEN-10"/>
    <x v="7"/>
    <x v="5"/>
    <d v="2025-08-15T00:00:00"/>
    <d v="2027-02-05T00:00:00"/>
    <n v="200"/>
    <n v="200"/>
    <n v="0"/>
    <n v="62000"/>
    <n v="12400000"/>
    <n v="12400000"/>
    <n v="101"/>
    <x v="0"/>
    <n v="0"/>
    <n v="0"/>
    <x v="0"/>
    <x v="0"/>
  </r>
  <r>
    <x v="195"/>
    <s v="MK-CUS-09"/>
    <x v="8"/>
    <x v="2"/>
    <d v="2026-03-14T00:00:00"/>
    <d v="2027-08-28T00:00:00"/>
    <n v="200"/>
    <n v="0"/>
    <n v="200"/>
    <n v="97000"/>
    <n v="19400000"/>
    <n v="0"/>
    <n v="305"/>
    <x v="0"/>
    <n v="19400000"/>
    <n v="0"/>
    <x v="1"/>
    <x v="1"/>
  </r>
  <r>
    <x v="196"/>
    <s v="MK-CUS-09"/>
    <x v="8"/>
    <x v="2"/>
    <d v="2025-11-20T00:00:00"/>
    <d v="2027-05-19T00:00:00"/>
    <n v="250"/>
    <n v="0"/>
    <n v="250"/>
    <n v="94000"/>
    <n v="23500000"/>
    <n v="0"/>
    <n v="204"/>
    <x v="0"/>
    <n v="23500000"/>
    <n v="0"/>
    <x v="1"/>
    <x v="1"/>
  </r>
  <r>
    <x v="197"/>
    <s v="SK-SUN-02"/>
    <x v="5"/>
    <x v="4"/>
    <d v="2025-12-10T00:00:00"/>
    <d v="2027-04-27T00:00:00"/>
    <n v="500"/>
    <n v="500"/>
    <n v="0"/>
    <n v="59000"/>
    <n v="29500000"/>
    <n v="29500000"/>
    <n v="182"/>
    <x v="0"/>
    <n v="0"/>
    <n v="0"/>
    <x v="1"/>
    <x v="1"/>
  </r>
  <r>
    <x v="198"/>
    <s v="CL-MCL-08"/>
    <x v="6"/>
    <x v="1"/>
    <d v="2025-06-11T00:00:00"/>
    <d v="2027-03-09T00:00:00"/>
    <n v="500"/>
    <n v="500"/>
    <n v="0"/>
    <n v="27000"/>
    <n v="13500000"/>
    <n v="13500000"/>
    <n v="133"/>
    <x v="0"/>
    <n v="0"/>
    <n v="0"/>
    <x v="0"/>
    <x v="0"/>
  </r>
  <r>
    <x v="199"/>
    <s v="MK-LIP-06"/>
    <x v="2"/>
    <x v="2"/>
    <d v="2025-09-06T00:00:00"/>
    <d v="2028-06-11T00:00:00"/>
    <n v="750"/>
    <n v="750"/>
    <n v="0"/>
    <n v="32000"/>
    <n v="24000000"/>
    <n v="24000000"/>
    <n v="593"/>
    <x v="0"/>
    <n v="0"/>
    <n v="0"/>
    <x v="1"/>
    <x v="1"/>
  </r>
  <r>
    <x v="200"/>
    <s v="CL-MCL-08"/>
    <x v="6"/>
    <x v="1"/>
    <d v="2026-03-16T00:00:00"/>
    <d v="2027-09-11T00:00:00"/>
    <n v="200"/>
    <n v="0"/>
    <n v="200"/>
    <n v="27000"/>
    <n v="5400000"/>
    <n v="0"/>
    <n v="319"/>
    <x v="0"/>
    <n v="5400000"/>
    <n v="0"/>
    <x v="1"/>
    <x v="1"/>
  </r>
  <r>
    <x v="201"/>
    <s v="TN-AHA-04"/>
    <x v="9"/>
    <x v="5"/>
    <d v="2025-12-18T00:00:00"/>
    <d v="2027-06-16T00:00:00"/>
    <n v="250"/>
    <n v="0"/>
    <n v="250"/>
    <n v="55000"/>
    <n v="13750000"/>
    <n v="0"/>
    <n v="232"/>
    <x v="0"/>
    <n v="13750000"/>
    <n v="0"/>
    <x v="1"/>
    <x v="1"/>
  </r>
  <r>
    <x v="202"/>
    <s v="SK-NNC-01"/>
    <x v="4"/>
    <x v="3"/>
    <d v="2025-10-07T00:00:00"/>
    <d v="2028-06-29T00:00:00"/>
    <n v="300"/>
    <n v="0"/>
    <n v="300"/>
    <n v="45000"/>
    <n v="13500000"/>
    <n v="0"/>
    <n v="611"/>
    <x v="0"/>
    <n v="13500000"/>
    <n v="0"/>
    <x v="1"/>
    <x v="1"/>
  </r>
  <r>
    <x v="203"/>
    <s v="SK-RET-07"/>
    <x v="0"/>
    <x v="0"/>
    <d v="2026-03-18T00:00:00"/>
    <d v="2027-08-29T00:00:00"/>
    <n v="100"/>
    <n v="0"/>
    <n v="100"/>
    <n v="77000"/>
    <n v="7700000"/>
    <n v="0"/>
    <n v="306"/>
    <x v="0"/>
    <n v="7700000"/>
    <n v="0"/>
    <x v="1"/>
    <x v="1"/>
  </r>
  <r>
    <x v="204"/>
    <s v="MK-LIP-06"/>
    <x v="2"/>
    <x v="2"/>
    <d v="2025-06-12T00:00:00"/>
    <d v="2027-03-05T00:00:00"/>
    <n v="500"/>
    <n v="500"/>
    <n v="0"/>
    <n v="28000"/>
    <n v="14000000"/>
    <n v="14000000"/>
    <n v="129"/>
    <x v="0"/>
    <n v="0"/>
    <n v="0"/>
    <x v="0"/>
    <x v="0"/>
  </r>
  <r>
    <x v="205"/>
    <s v="SK-NNC-01"/>
    <x v="4"/>
    <x v="3"/>
    <d v="2025-07-27T00:00:00"/>
    <d v="2028-04-22T00:00:00"/>
    <n v="100"/>
    <n v="0"/>
    <n v="100"/>
    <n v="52000"/>
    <n v="5200000"/>
    <n v="0"/>
    <n v="543"/>
    <x v="0"/>
    <n v="5200000"/>
    <n v="0"/>
    <x v="1"/>
    <x v="1"/>
  </r>
  <r>
    <x v="206"/>
    <s v="CL-MCL-08"/>
    <x v="6"/>
    <x v="1"/>
    <d v="2026-02-19T00:00:00"/>
    <d v="2027-02-15T00:00:00"/>
    <n v="300"/>
    <n v="0"/>
    <n v="300"/>
    <n v="30000"/>
    <n v="9000000"/>
    <n v="0"/>
    <n v="111"/>
    <x v="0"/>
    <n v="9000000"/>
    <n v="0"/>
    <x v="0"/>
    <x v="0"/>
  </r>
  <r>
    <x v="207"/>
    <s v="MK-LIP-06"/>
    <x v="2"/>
    <x v="2"/>
    <d v="2025-12-17T00:00:00"/>
    <d v="2027-06-24T00:00:00"/>
    <n v="300"/>
    <n v="300"/>
    <n v="0"/>
    <n v="30000"/>
    <n v="9000000"/>
    <n v="9000000"/>
    <n v="240"/>
    <x v="0"/>
    <n v="0"/>
    <n v="0"/>
    <x v="1"/>
    <x v="1"/>
  </r>
  <r>
    <x v="208"/>
    <s v="TN-CEN-10"/>
    <x v="7"/>
    <x v="5"/>
    <d v="2025-06-26T00:00:00"/>
    <d v="2028-09-18T00:00:00"/>
    <n v="300"/>
    <n v="300"/>
    <n v="0"/>
    <n v="52000"/>
    <n v="15600000"/>
    <n v="15600000"/>
    <n v="692"/>
    <x v="0"/>
    <n v="0"/>
    <n v="0"/>
    <x v="1"/>
    <x v="1"/>
  </r>
  <r>
    <x v="209"/>
    <s v="SK-RET-07"/>
    <x v="0"/>
    <x v="0"/>
    <d v="2026-03-09T00:00:00"/>
    <d v="2027-03-14T00:00:00"/>
    <n v="250"/>
    <n v="0"/>
    <n v="250"/>
    <n v="79000"/>
    <n v="19750000"/>
    <n v="0"/>
    <n v="138"/>
    <x v="0"/>
    <n v="19750000"/>
    <n v="0"/>
    <x v="0"/>
    <x v="0"/>
  </r>
  <r>
    <x v="210"/>
    <s v="SK-RET-07"/>
    <x v="0"/>
    <x v="0"/>
    <d v="2025-10-15T00:00:00"/>
    <d v="2028-04-05T00:00:00"/>
    <n v="1000"/>
    <n v="1000"/>
    <n v="0"/>
    <n v="81000"/>
    <n v="81000000"/>
    <n v="81000000"/>
    <n v="526"/>
    <x v="0"/>
    <n v="0"/>
    <n v="0"/>
    <x v="1"/>
    <x v="1"/>
  </r>
  <r>
    <x v="211"/>
    <s v="SK-SUN-02"/>
    <x v="5"/>
    <x v="4"/>
    <d v="2026-01-09T00:00:00"/>
    <d v="2027-06-24T00:00:00"/>
    <n v="250"/>
    <n v="0"/>
    <n v="250"/>
    <n v="65000"/>
    <n v="16250000"/>
    <n v="0"/>
    <n v="240"/>
    <x v="0"/>
    <n v="16250000"/>
    <n v="0"/>
    <x v="1"/>
    <x v="1"/>
  </r>
  <r>
    <x v="212"/>
    <s v="TN-CEN-10"/>
    <x v="7"/>
    <x v="5"/>
    <d v="2025-09-11T00:00:00"/>
    <d v="2028-12-18T00:00:00"/>
    <n v="200"/>
    <n v="200"/>
    <n v="0"/>
    <n v="53000"/>
    <n v="10600000"/>
    <n v="10600000"/>
    <n v="783"/>
    <x v="0"/>
    <n v="0"/>
    <n v="0"/>
    <x v="1"/>
    <x v="1"/>
  </r>
  <r>
    <x v="213"/>
    <s v="CL-C20-03"/>
    <x v="1"/>
    <x v="1"/>
    <d v="2026-03-20T00:00:00"/>
    <d v="2027-03-25T00:00:00"/>
    <n v="500"/>
    <n v="0"/>
    <n v="500"/>
    <n v="35000"/>
    <n v="17500000"/>
    <n v="0"/>
    <n v="149"/>
    <x v="0"/>
    <n v="17500000"/>
    <n v="0"/>
    <x v="0"/>
    <x v="0"/>
  </r>
  <r>
    <x v="214"/>
    <s v="SK-RET-07"/>
    <x v="0"/>
    <x v="0"/>
    <d v="2025-06-15T00:00:00"/>
    <d v="2026-11-25T00:00:00"/>
    <n v="500"/>
    <n v="0"/>
    <n v="500"/>
    <n v="83000"/>
    <n v="41500000"/>
    <n v="0"/>
    <n v="29"/>
    <x v="2"/>
    <n v="41500000"/>
    <n v="41500000"/>
    <x v="3"/>
    <x v="3"/>
  </r>
  <r>
    <x v="215"/>
    <s v="SK-SUN-02"/>
    <x v="5"/>
    <x v="4"/>
    <d v="2025-11-08T00:00:00"/>
    <d v="2027-04-26T00:00:00"/>
    <n v="750"/>
    <n v="0"/>
    <n v="750"/>
    <n v="56000"/>
    <n v="42000000"/>
    <n v="0"/>
    <n v="181"/>
    <x v="0"/>
    <n v="42000000"/>
    <n v="0"/>
    <x v="1"/>
    <x v="1"/>
  </r>
  <r>
    <x v="216"/>
    <s v="SK-RET-07"/>
    <x v="0"/>
    <x v="0"/>
    <d v="2026-01-13T00:00:00"/>
    <d v="2027-07-21T00:00:00"/>
    <n v="100"/>
    <n v="0"/>
    <n v="100"/>
    <n v="87000"/>
    <n v="8700000"/>
    <n v="0"/>
    <n v="267"/>
    <x v="0"/>
    <n v="8700000"/>
    <n v="0"/>
    <x v="1"/>
    <x v="1"/>
  </r>
  <r>
    <x v="217"/>
    <s v="SK-SUN-02"/>
    <x v="5"/>
    <x v="4"/>
    <d v="2025-09-04T00:00:00"/>
    <d v="2027-02-17T00:00:00"/>
    <n v="100"/>
    <n v="0"/>
    <n v="100"/>
    <n v="55000"/>
    <n v="5500000"/>
    <n v="0"/>
    <n v="113"/>
    <x v="0"/>
    <n v="5500000"/>
    <n v="0"/>
    <x v="0"/>
    <x v="0"/>
  </r>
  <r>
    <x v="218"/>
    <s v="MO-HYA-05"/>
    <x v="3"/>
    <x v="0"/>
    <d v="2026-01-22T00:00:00"/>
    <d v="2027-01-25T00:00:00"/>
    <n v="200"/>
    <n v="0"/>
    <n v="200"/>
    <n v="68000"/>
    <n v="13600000"/>
    <n v="0"/>
    <n v="90"/>
    <x v="0"/>
    <n v="13600000"/>
    <n v="0"/>
    <x v="0"/>
    <x v="0"/>
  </r>
  <r>
    <x v="219"/>
    <s v="TN-CEN-10"/>
    <x v="7"/>
    <x v="5"/>
    <d v="2025-08-04T00:00:00"/>
    <d v="2026-01-18T00:00:00"/>
    <n v="250"/>
    <n v="250"/>
    <n v="0"/>
    <n v="59000"/>
    <n v="14750000"/>
    <n v="14750000"/>
    <n v="-282"/>
    <x v="1"/>
    <n v="0"/>
    <n v="0"/>
    <x v="2"/>
    <x v="2"/>
  </r>
  <r>
    <x v="220"/>
    <s v="SK-SUN-02"/>
    <x v="5"/>
    <x v="4"/>
    <d v="2025-10-24T00:00:00"/>
    <d v="2027-05-01T00:00:00"/>
    <n v="200"/>
    <n v="200"/>
    <n v="0"/>
    <n v="59000"/>
    <n v="11800000"/>
    <n v="11800000"/>
    <n v="186"/>
    <x v="0"/>
    <n v="0"/>
    <n v="0"/>
    <x v="1"/>
    <x v="1"/>
  </r>
  <r>
    <x v="221"/>
    <s v="MK-CUS-09"/>
    <x v="8"/>
    <x v="2"/>
    <d v="2025-10-18T00:00:00"/>
    <d v="2027-09-27T00:00:00"/>
    <n v="500"/>
    <n v="0"/>
    <n v="500"/>
    <n v="95000"/>
    <n v="47500000"/>
    <n v="0"/>
    <n v="335"/>
    <x v="0"/>
    <n v="47500000"/>
    <n v="0"/>
    <x v="1"/>
    <x v="1"/>
  </r>
  <r>
    <x v="222"/>
    <s v="MK-LIP-06"/>
    <x v="2"/>
    <x v="2"/>
    <d v="2026-03-22T00:00:00"/>
    <d v="2027-09-11T00:00:00"/>
    <n v="300"/>
    <n v="0"/>
    <n v="300"/>
    <n v="33000"/>
    <n v="9900000"/>
    <n v="0"/>
    <n v="319"/>
    <x v="0"/>
    <n v="9900000"/>
    <n v="0"/>
    <x v="1"/>
    <x v="1"/>
  </r>
  <r>
    <x v="223"/>
    <s v="SK-SUN-02"/>
    <x v="5"/>
    <x v="4"/>
    <d v="2025-10-31T00:00:00"/>
    <d v="2026-10-14T00:00:00"/>
    <n v="200"/>
    <n v="0"/>
    <n v="200"/>
    <n v="58000"/>
    <n v="11600000"/>
    <n v="0"/>
    <n v="-13"/>
    <x v="1"/>
    <n v="11600000"/>
    <n v="11600000"/>
    <x v="2"/>
    <x v="2"/>
  </r>
  <r>
    <x v="224"/>
    <s v="MK-LIP-06"/>
    <x v="2"/>
    <x v="2"/>
    <d v="2026-01-29T00:00:00"/>
    <d v="2027-01-18T00:00:00"/>
    <n v="100"/>
    <n v="0"/>
    <n v="100"/>
    <n v="28000"/>
    <n v="2800000"/>
    <n v="0"/>
    <n v="83"/>
    <x v="0"/>
    <n v="2800000"/>
    <n v="0"/>
    <x v="0"/>
    <x v="0"/>
  </r>
  <r>
    <x v="225"/>
    <s v="TN-CEN-10"/>
    <x v="7"/>
    <x v="5"/>
    <d v="2026-01-27T00:00:00"/>
    <d v="2028-01-25T00:00:00"/>
    <n v="250"/>
    <n v="0"/>
    <n v="250"/>
    <n v="56000"/>
    <n v="14000000"/>
    <n v="0"/>
    <n v="455"/>
    <x v="0"/>
    <n v="14000000"/>
    <n v="0"/>
    <x v="1"/>
    <x v="1"/>
  </r>
  <r>
    <x v="226"/>
    <s v="MK-LIP-06"/>
    <x v="2"/>
    <x v="2"/>
    <d v="2025-07-17T00:00:00"/>
    <d v="2027-01-06T00:00:00"/>
    <n v="750"/>
    <n v="750"/>
    <n v="0"/>
    <n v="29000"/>
    <n v="21750000"/>
    <n v="21750000"/>
    <n v="71"/>
    <x v="0"/>
    <n v="0"/>
    <n v="0"/>
    <x v="0"/>
    <x v="0"/>
  </r>
  <r>
    <x v="227"/>
    <s v="SK-NNC-01"/>
    <x v="4"/>
    <x v="3"/>
    <d v="2025-07-31T00:00:00"/>
    <d v="2027-01-14T00:00:00"/>
    <n v="500"/>
    <n v="500"/>
    <n v="0"/>
    <n v="50000"/>
    <n v="25000000"/>
    <n v="25000000"/>
    <n v="79"/>
    <x v="0"/>
    <n v="0"/>
    <n v="0"/>
    <x v="0"/>
    <x v="0"/>
  </r>
  <r>
    <x v="228"/>
    <s v="SK-NNC-01"/>
    <x v="4"/>
    <x v="3"/>
    <d v="2026-01-02T00:00:00"/>
    <d v="2027-06-13T00:00:00"/>
    <n v="200"/>
    <n v="0"/>
    <n v="200"/>
    <n v="52000"/>
    <n v="10400000"/>
    <n v="0"/>
    <n v="229"/>
    <x v="0"/>
    <n v="10400000"/>
    <n v="0"/>
    <x v="1"/>
    <x v="1"/>
  </r>
  <r>
    <x v="229"/>
    <s v="MK-CUS-09"/>
    <x v="8"/>
    <x v="2"/>
    <d v="2025-08-07T00:00:00"/>
    <d v="2027-07-19T00:00:00"/>
    <n v="250"/>
    <n v="250"/>
    <n v="0"/>
    <n v="92000"/>
    <n v="23000000"/>
    <n v="23000000"/>
    <n v="265"/>
    <x v="0"/>
    <n v="0"/>
    <n v="0"/>
    <x v="1"/>
    <x v="1"/>
  </r>
  <r>
    <x v="230"/>
    <s v="CL-C20-03"/>
    <x v="1"/>
    <x v="1"/>
    <d v="2025-10-01T00:00:00"/>
    <d v="2027-02-21T00:00:00"/>
    <n v="100"/>
    <n v="100"/>
    <n v="0"/>
    <n v="33000"/>
    <n v="3300000"/>
    <n v="3300000"/>
    <n v="117"/>
    <x v="0"/>
    <n v="0"/>
    <n v="0"/>
    <x v="0"/>
    <x v="0"/>
  </r>
  <r>
    <x v="231"/>
    <s v="TN-CEN-10"/>
    <x v="7"/>
    <x v="5"/>
    <d v="2025-06-09T00:00:00"/>
    <d v="2027-03-15T00:00:00"/>
    <n v="300"/>
    <n v="0"/>
    <n v="300"/>
    <n v="62000"/>
    <n v="18600000"/>
    <n v="0"/>
    <n v="139"/>
    <x v="0"/>
    <n v="18600000"/>
    <n v="0"/>
    <x v="0"/>
    <x v="0"/>
  </r>
  <r>
    <x v="232"/>
    <s v="SK-SUN-02"/>
    <x v="5"/>
    <x v="4"/>
    <d v="2025-10-02T00:00:00"/>
    <d v="2027-06-21T00:00:00"/>
    <n v="300"/>
    <n v="0"/>
    <n v="300"/>
    <n v="64000"/>
    <n v="19200000"/>
    <n v="0"/>
    <n v="237"/>
    <x v="0"/>
    <n v="19200000"/>
    <n v="0"/>
    <x v="1"/>
    <x v="1"/>
  </r>
  <r>
    <x v="233"/>
    <s v="SK-SUN-02"/>
    <x v="5"/>
    <x v="4"/>
    <d v="2025-07-07T00:00:00"/>
    <d v="2026-12-31T00:00:00"/>
    <n v="750"/>
    <n v="750"/>
    <n v="0"/>
    <n v="55000"/>
    <n v="41250000"/>
    <n v="41250000"/>
    <n v="65"/>
    <x v="0"/>
    <n v="0"/>
    <n v="0"/>
    <x v="0"/>
    <x v="0"/>
  </r>
  <r>
    <x v="234"/>
    <s v="SK-SUN-02"/>
    <x v="5"/>
    <x v="4"/>
    <d v="2025-07-10T00:00:00"/>
    <d v="2027-01-15T00:00:00"/>
    <n v="300"/>
    <n v="0"/>
    <n v="300"/>
    <n v="64000"/>
    <n v="19200000"/>
    <n v="0"/>
    <n v="80"/>
    <x v="0"/>
    <n v="19200000"/>
    <n v="0"/>
    <x v="0"/>
    <x v="0"/>
  </r>
  <r>
    <x v="235"/>
    <s v="CL-C20-03"/>
    <x v="1"/>
    <x v="1"/>
    <d v="2025-07-26T00:00:00"/>
    <d v="2027-07-13T00:00:00"/>
    <n v="300"/>
    <n v="0"/>
    <n v="300"/>
    <n v="36000"/>
    <n v="10800000"/>
    <n v="0"/>
    <n v="259"/>
    <x v="0"/>
    <n v="10800000"/>
    <n v="0"/>
    <x v="1"/>
    <x v="1"/>
  </r>
  <r>
    <x v="236"/>
    <s v="SK-NNC-01"/>
    <x v="4"/>
    <x v="3"/>
    <d v="2026-02-17T00:00:00"/>
    <d v="2027-02-12T00:00:00"/>
    <n v="300"/>
    <n v="0"/>
    <n v="300"/>
    <n v="45000"/>
    <n v="13500000"/>
    <n v="0"/>
    <n v="108"/>
    <x v="0"/>
    <n v="13500000"/>
    <n v="0"/>
    <x v="0"/>
    <x v="0"/>
  </r>
  <r>
    <x v="237"/>
    <s v="MK-CUS-09"/>
    <x v="8"/>
    <x v="2"/>
    <d v="2026-02-24T00:00:00"/>
    <d v="2027-08-27T00:00:00"/>
    <n v="750"/>
    <n v="0"/>
    <n v="750"/>
    <n v="88000"/>
    <n v="66000000"/>
    <n v="0"/>
    <n v="304"/>
    <x v="0"/>
    <n v="66000000"/>
    <n v="0"/>
    <x v="1"/>
    <x v="1"/>
  </r>
  <r>
    <x v="238"/>
    <s v="MK-LIP-06"/>
    <x v="2"/>
    <x v="2"/>
    <d v="2025-12-05T00:00:00"/>
    <d v="2027-05-29T00:00:00"/>
    <n v="1000"/>
    <n v="1000"/>
    <n v="0"/>
    <n v="28000"/>
    <n v="28000000"/>
    <n v="28000000"/>
    <n v="214"/>
    <x v="0"/>
    <n v="0"/>
    <n v="0"/>
    <x v="1"/>
    <x v="1"/>
  </r>
  <r>
    <x v="239"/>
    <s v="CL-C20-03"/>
    <x v="1"/>
    <x v="1"/>
    <d v="2025-07-01T00:00:00"/>
    <d v="2026-12-17T00:00:00"/>
    <n v="500"/>
    <n v="0"/>
    <n v="500"/>
    <n v="36000"/>
    <n v="18000000"/>
    <n v="0"/>
    <n v="51"/>
    <x v="0"/>
    <n v="18000000"/>
    <n v="18000000"/>
    <x v="3"/>
    <x v="3"/>
  </r>
  <r>
    <x v="240"/>
    <s v="SK-RET-07"/>
    <x v="0"/>
    <x v="0"/>
    <d v="2025-08-21T00:00:00"/>
    <d v="2027-02-10T00:00:00"/>
    <n v="500"/>
    <n v="0"/>
    <n v="500"/>
    <n v="86000"/>
    <n v="43000000"/>
    <n v="0"/>
    <n v="106"/>
    <x v="0"/>
    <n v="43000000"/>
    <n v="0"/>
    <x v="0"/>
    <x v="0"/>
  </r>
  <r>
    <x v="241"/>
    <s v="SK-RET-07"/>
    <x v="0"/>
    <x v="0"/>
    <d v="2026-01-10T00:00:00"/>
    <d v="2028-06-20T00:00:00"/>
    <n v="1000"/>
    <n v="500"/>
    <n v="500"/>
    <n v="75000"/>
    <n v="75000000"/>
    <n v="37500000"/>
    <n v="602"/>
    <x v="0"/>
    <n v="37500000"/>
    <n v="0"/>
    <x v="1"/>
    <x v="1"/>
  </r>
  <r>
    <x v="242"/>
    <s v="CL-MCL-08"/>
    <x v="6"/>
    <x v="1"/>
    <d v="2026-01-09T00:00:00"/>
    <d v="2026-10-14T00:00:00"/>
    <n v="500"/>
    <n v="0"/>
    <n v="500"/>
    <n v="30000"/>
    <n v="15000000"/>
    <n v="0"/>
    <n v="-13"/>
    <x v="1"/>
    <n v="15000000"/>
    <n v="15000000"/>
    <x v="2"/>
    <x v="2"/>
  </r>
  <r>
    <x v="243"/>
    <s v="CL-C20-03"/>
    <x v="1"/>
    <x v="1"/>
    <d v="2025-08-13T00:00:00"/>
    <d v="2026-04-26T00:00:00"/>
    <n v="250"/>
    <n v="250"/>
    <n v="0"/>
    <n v="35000"/>
    <n v="8750000"/>
    <n v="8750000"/>
    <n v="-184"/>
    <x v="1"/>
    <n v="0"/>
    <n v="0"/>
    <x v="2"/>
    <x v="2"/>
  </r>
  <r>
    <x v="244"/>
    <s v="MO-HYA-05"/>
    <x v="3"/>
    <x v="0"/>
    <d v="2026-03-05T00:00:00"/>
    <d v="2028-02-11T00:00:00"/>
    <n v="100"/>
    <n v="0"/>
    <n v="100"/>
    <n v="70000"/>
    <n v="7000000"/>
    <n v="0"/>
    <n v="472"/>
    <x v="0"/>
    <n v="7000000"/>
    <n v="0"/>
    <x v="1"/>
    <x v="1"/>
  </r>
  <r>
    <x v="245"/>
    <s v="SK-NNC-01"/>
    <x v="4"/>
    <x v="3"/>
    <d v="2025-06-12T00:00:00"/>
    <d v="2025-11-03T00:00:00"/>
    <n v="250"/>
    <n v="250"/>
    <n v="0"/>
    <n v="50000"/>
    <n v="12500000"/>
    <n v="12500000"/>
    <n v="-358"/>
    <x v="1"/>
    <n v="0"/>
    <n v="0"/>
    <x v="2"/>
    <x v="2"/>
  </r>
  <r>
    <x v="246"/>
    <s v="TN-CEN-10"/>
    <x v="7"/>
    <x v="5"/>
    <d v="2025-09-28T00:00:00"/>
    <d v="2025-12-29T00:00:00"/>
    <n v="1000"/>
    <n v="1000"/>
    <n v="0"/>
    <n v="55000"/>
    <n v="55000000"/>
    <n v="55000000"/>
    <n v="-302"/>
    <x v="1"/>
    <n v="0"/>
    <n v="0"/>
    <x v="2"/>
    <x v="2"/>
  </r>
  <r>
    <x v="247"/>
    <s v="CL-C20-03"/>
    <x v="1"/>
    <x v="1"/>
    <d v="2025-06-07T00:00:00"/>
    <d v="2025-10-20T00:00:00"/>
    <n v="250"/>
    <n v="250"/>
    <n v="0"/>
    <n v="38000"/>
    <n v="9500000"/>
    <n v="9500000"/>
    <n v="-372"/>
    <x v="1"/>
    <n v="0"/>
    <n v="0"/>
    <x v="2"/>
    <x v="2"/>
  </r>
  <r>
    <x v="248"/>
    <s v="CL-C20-03"/>
    <x v="1"/>
    <x v="1"/>
    <d v="2025-07-28T00:00:00"/>
    <d v="2025-10-12T00:00:00"/>
    <n v="200"/>
    <n v="200"/>
    <n v="0"/>
    <n v="36000"/>
    <n v="7200000"/>
    <n v="7200000"/>
    <n v="-380"/>
    <x v="1"/>
    <n v="0"/>
    <n v="0"/>
    <x v="2"/>
    <x v="2"/>
  </r>
  <r>
    <x v="249"/>
    <s v="TN-AHA-04"/>
    <x v="9"/>
    <x v="5"/>
    <d v="2025-09-07T00:00:00"/>
    <d v="2026-05-26T00:00:00"/>
    <n v="300"/>
    <n v="300"/>
    <n v="0"/>
    <n v="58000"/>
    <n v="17400000"/>
    <n v="17400000"/>
    <n v="-154"/>
    <x v="1"/>
    <n v="0"/>
    <n v="0"/>
    <x v="2"/>
    <x v="2"/>
  </r>
  <r>
    <x v="250"/>
    <s v="TN-AHA-04"/>
    <x v="9"/>
    <x v="5"/>
    <d v="2026-03-15T00:00:00"/>
    <d v="2026-08-10T00:00:00"/>
    <n v="200"/>
    <n v="200"/>
    <n v="0"/>
    <n v="58000"/>
    <n v="11600000"/>
    <n v="11600000"/>
    <n v="-78"/>
    <x v="1"/>
    <n v="0"/>
    <n v="0"/>
    <x v="2"/>
    <x v="2"/>
  </r>
  <r>
    <x v="251"/>
    <s v="CL-C20-03"/>
    <x v="1"/>
    <x v="1"/>
    <d v="2026-01-22T00:00:00"/>
    <d v="2026-05-05T00:00:00"/>
    <n v="750"/>
    <n v="0"/>
    <n v="750"/>
    <n v="36000"/>
    <n v="27000000"/>
    <n v="0"/>
    <n v="-175"/>
    <x v="1"/>
    <n v="27000000"/>
    <n v="27000000"/>
    <x v="2"/>
    <x v="2"/>
  </r>
  <r>
    <x v="252"/>
    <s v="TN-AHA-04"/>
    <x v="9"/>
    <x v="5"/>
    <d v="2026-02-17T00:00:00"/>
    <d v="2027-07-31T00:00:00"/>
    <n v="1000"/>
    <n v="0"/>
    <n v="1000"/>
    <n v="48000"/>
    <n v="48000000"/>
    <n v="0"/>
    <n v="277"/>
    <x v="0"/>
    <n v="48000000"/>
    <n v="0"/>
    <x v="1"/>
    <x v="1"/>
  </r>
  <r>
    <x v="253"/>
    <s v="TN-CEN-10"/>
    <x v="7"/>
    <x v="5"/>
    <d v="2025-06-15T00:00:00"/>
    <d v="2026-05-28T00:00:00"/>
    <n v="100"/>
    <n v="0"/>
    <n v="100"/>
    <n v="60000"/>
    <n v="6000000"/>
    <n v="0"/>
    <n v="-152"/>
    <x v="1"/>
    <n v="6000000"/>
    <n v="6000000"/>
    <x v="2"/>
    <x v="2"/>
  </r>
  <r>
    <x v="254"/>
    <s v="CL-MCL-08"/>
    <x v="6"/>
    <x v="1"/>
    <d v="2025-06-12T00:00:00"/>
    <d v="2027-06-03T00:00:00"/>
    <n v="250"/>
    <n v="0"/>
    <n v="250"/>
    <n v="28000"/>
    <n v="7000000"/>
    <n v="0"/>
    <n v="219"/>
    <x v="0"/>
    <n v="7000000"/>
    <n v="0"/>
    <x v="1"/>
    <x v="1"/>
  </r>
  <r>
    <x v="255"/>
    <s v="MK-CUS-09"/>
    <x v="8"/>
    <x v="2"/>
    <d v="2025-10-23T00:00:00"/>
    <d v="2027-03-14T00:00:00"/>
    <n v="500"/>
    <n v="500"/>
    <n v="0"/>
    <n v="98000"/>
    <n v="49000000"/>
    <n v="49000000"/>
    <n v="138"/>
    <x v="0"/>
    <n v="0"/>
    <n v="0"/>
    <x v="0"/>
    <x v="0"/>
  </r>
  <r>
    <x v="256"/>
    <s v="SK-SUN-02"/>
    <x v="5"/>
    <x v="4"/>
    <d v="2025-12-16T00:00:00"/>
    <d v="2026-12-07T00:00:00"/>
    <n v="100"/>
    <n v="0"/>
    <n v="100"/>
    <n v="64000"/>
    <n v="6400000"/>
    <n v="0"/>
    <n v="41"/>
    <x v="0"/>
    <n v="6400000"/>
    <n v="6400000"/>
    <x v="3"/>
    <x v="3"/>
  </r>
  <r>
    <x v="257"/>
    <s v="CL-C20-03"/>
    <x v="1"/>
    <x v="1"/>
    <d v="2025-07-16T00:00:00"/>
    <d v="2027-04-26T00:00:00"/>
    <n v="200"/>
    <n v="150"/>
    <n v="50"/>
    <n v="32000"/>
    <n v="6400000"/>
    <n v="4800000"/>
    <n v="181"/>
    <x v="0"/>
    <n v="1600000"/>
    <n v="0"/>
    <x v="1"/>
    <x v="1"/>
  </r>
  <r>
    <x v="258"/>
    <s v="TN-AHA-04"/>
    <x v="9"/>
    <x v="5"/>
    <d v="2026-01-14T00:00:00"/>
    <d v="2027-01-09T00:00:00"/>
    <n v="250"/>
    <n v="0"/>
    <n v="250"/>
    <n v="53000"/>
    <n v="13250000"/>
    <n v="0"/>
    <n v="74"/>
    <x v="0"/>
    <n v="13250000"/>
    <n v="0"/>
    <x v="0"/>
    <x v="0"/>
  </r>
  <r>
    <x v="259"/>
    <s v="MK-LIP-06"/>
    <x v="2"/>
    <x v="2"/>
    <d v="2025-09-25T00:00:00"/>
    <d v="2027-09-12T00:00:00"/>
    <n v="250"/>
    <n v="0"/>
    <n v="250"/>
    <n v="32000"/>
    <n v="8000000"/>
    <n v="0"/>
    <n v="320"/>
    <x v="0"/>
    <n v="8000000"/>
    <n v="0"/>
    <x v="1"/>
    <x v="1"/>
  </r>
  <r>
    <x v="260"/>
    <s v="SK-NNC-01"/>
    <x v="4"/>
    <x v="3"/>
    <d v="2025-08-11T00:00:00"/>
    <d v="2027-05-22T00:00:00"/>
    <n v="250"/>
    <n v="0"/>
    <n v="250"/>
    <n v="50000"/>
    <n v="12500000"/>
    <n v="0"/>
    <n v="207"/>
    <x v="0"/>
    <n v="12500000"/>
    <n v="0"/>
    <x v="1"/>
    <x v="1"/>
  </r>
  <r>
    <x v="261"/>
    <s v="MK-LIP-06"/>
    <x v="2"/>
    <x v="2"/>
    <d v="2025-07-02T00:00:00"/>
    <d v="2027-07-06T00:00:00"/>
    <n v="750"/>
    <n v="350"/>
    <n v="400"/>
    <n v="33000"/>
    <n v="24750000"/>
    <n v="11550000"/>
    <n v="252"/>
    <x v="0"/>
    <n v="13200000"/>
    <n v="0"/>
    <x v="1"/>
    <x v="1"/>
  </r>
  <r>
    <x v="262"/>
    <s v="MK-CUS-09"/>
    <x v="8"/>
    <x v="2"/>
    <d v="2026-02-22T00:00:00"/>
    <d v="2026-11-27T00:00:00"/>
    <n v="200"/>
    <n v="0"/>
    <n v="200"/>
    <n v="96000"/>
    <n v="19200000"/>
    <n v="0"/>
    <n v="31"/>
    <x v="0"/>
    <n v="19200000"/>
    <n v="19200000"/>
    <x v="3"/>
    <x v="3"/>
  </r>
  <r>
    <x v="263"/>
    <s v="MK-CUS-09"/>
    <x v="8"/>
    <x v="2"/>
    <d v="2025-07-16T00:00:00"/>
    <d v="2027-12-13T00:00:00"/>
    <n v="250"/>
    <n v="250"/>
    <n v="0"/>
    <n v="96000"/>
    <n v="24000000"/>
    <n v="24000000"/>
    <n v="412"/>
    <x v="0"/>
    <n v="0"/>
    <n v="0"/>
    <x v="1"/>
    <x v="1"/>
  </r>
  <r>
    <x v="264"/>
    <s v="TN-AHA-04"/>
    <x v="9"/>
    <x v="5"/>
    <d v="2025-11-08T00:00:00"/>
    <d v="2026-11-05T00:00:00"/>
    <n v="250"/>
    <n v="0"/>
    <n v="250"/>
    <n v="49000"/>
    <n v="12250000"/>
    <n v="0"/>
    <n v="9"/>
    <x v="2"/>
    <n v="12250000"/>
    <n v="12250000"/>
    <x v="3"/>
    <x v="3"/>
  </r>
  <r>
    <x v="265"/>
    <s v="SK-NNC-01"/>
    <x v="4"/>
    <x v="3"/>
    <d v="2026-03-16T00:00:00"/>
    <d v="2027-09-21T00:00:00"/>
    <n v="100"/>
    <n v="0"/>
    <n v="100"/>
    <n v="48000"/>
    <n v="4800000"/>
    <n v="0"/>
    <n v="329"/>
    <x v="0"/>
    <n v="4800000"/>
    <n v="0"/>
    <x v="1"/>
    <x v="1"/>
  </r>
  <r>
    <x v="266"/>
    <s v="TN-CEN-10"/>
    <x v="7"/>
    <x v="5"/>
    <d v="2025-09-11T00:00:00"/>
    <d v="2027-01-30T00:00:00"/>
    <n v="200"/>
    <n v="200"/>
    <n v="0"/>
    <n v="61000"/>
    <n v="12200000"/>
    <n v="12200000"/>
    <n v="95"/>
    <x v="0"/>
    <n v="0"/>
    <n v="0"/>
    <x v="0"/>
    <x v="0"/>
  </r>
  <r>
    <x v="267"/>
    <s v="SK-SUN-02"/>
    <x v="5"/>
    <x v="4"/>
    <d v="2025-10-21T00:00:00"/>
    <d v="2027-04-26T00:00:00"/>
    <n v="300"/>
    <n v="300"/>
    <n v="0"/>
    <n v="62000"/>
    <n v="18600000"/>
    <n v="18600000"/>
    <n v="181"/>
    <x v="0"/>
    <n v="0"/>
    <n v="0"/>
    <x v="1"/>
    <x v="1"/>
  </r>
  <r>
    <x v="268"/>
    <s v="CL-C20-03"/>
    <x v="1"/>
    <x v="1"/>
    <d v="2025-10-01T00:00:00"/>
    <d v="2027-12-20T00:00:00"/>
    <n v="300"/>
    <n v="300"/>
    <n v="0"/>
    <n v="38000"/>
    <n v="11400000"/>
    <n v="11400000"/>
    <n v="419"/>
    <x v="0"/>
    <n v="0"/>
    <n v="0"/>
    <x v="1"/>
    <x v="1"/>
  </r>
  <r>
    <x v="269"/>
    <s v="MK-CUS-09"/>
    <x v="8"/>
    <x v="2"/>
    <d v="2025-12-21T00:00:00"/>
    <d v="2027-06-16T00:00:00"/>
    <n v="300"/>
    <n v="0"/>
    <n v="300"/>
    <n v="88000"/>
    <n v="26400000"/>
    <n v="0"/>
    <n v="232"/>
    <x v="0"/>
    <n v="26400000"/>
    <n v="0"/>
    <x v="1"/>
    <x v="1"/>
  </r>
  <r>
    <x v="270"/>
    <s v="SK-RET-07"/>
    <x v="0"/>
    <x v="0"/>
    <d v="2025-08-23T00:00:00"/>
    <d v="2027-08-08T00:00:00"/>
    <n v="500"/>
    <n v="0"/>
    <n v="500"/>
    <n v="84000"/>
    <n v="42000000"/>
    <n v="0"/>
    <n v="285"/>
    <x v="0"/>
    <n v="42000000"/>
    <n v="0"/>
    <x v="1"/>
    <x v="1"/>
  </r>
  <r>
    <x v="271"/>
    <s v="CL-C20-03"/>
    <x v="1"/>
    <x v="1"/>
    <d v="2025-10-05T00:00:00"/>
    <d v="2027-09-24T00:00:00"/>
    <n v="250"/>
    <n v="0"/>
    <n v="250"/>
    <n v="33000"/>
    <n v="8250000"/>
    <n v="0"/>
    <n v="332"/>
    <x v="0"/>
    <n v="8250000"/>
    <n v="0"/>
    <x v="1"/>
    <x v="1"/>
  </r>
  <r>
    <x v="272"/>
    <s v="MK-LIP-06"/>
    <x v="2"/>
    <x v="2"/>
    <d v="2025-06-12T00:00:00"/>
    <d v="2027-12-06T00:00:00"/>
    <n v="250"/>
    <n v="250"/>
    <n v="0"/>
    <n v="30000"/>
    <n v="7500000"/>
    <n v="7500000"/>
    <n v="405"/>
    <x v="0"/>
    <n v="0"/>
    <n v="0"/>
    <x v="1"/>
    <x v="1"/>
  </r>
  <r>
    <x v="273"/>
    <s v="TN-CEN-10"/>
    <x v="7"/>
    <x v="5"/>
    <d v="2025-10-25T00:00:00"/>
    <d v="2027-10-03T00:00:00"/>
    <n v="500"/>
    <n v="0"/>
    <n v="500"/>
    <n v="58000"/>
    <n v="29000000"/>
    <n v="0"/>
    <n v="341"/>
    <x v="0"/>
    <n v="29000000"/>
    <n v="0"/>
    <x v="1"/>
    <x v="1"/>
  </r>
  <r>
    <x v="274"/>
    <s v="MO-HYA-05"/>
    <x v="3"/>
    <x v="0"/>
    <d v="2025-11-30T00:00:00"/>
    <d v="2027-02-24T00:00:00"/>
    <n v="300"/>
    <n v="300"/>
    <n v="0"/>
    <n v="61000"/>
    <n v="18300000"/>
    <n v="18300000"/>
    <n v="120"/>
    <x v="0"/>
    <n v="0"/>
    <n v="0"/>
    <x v="0"/>
    <x v="0"/>
  </r>
  <r>
    <x v="275"/>
    <s v="CL-C20-03"/>
    <x v="1"/>
    <x v="1"/>
    <d v="2025-10-28T00:00:00"/>
    <d v="2027-08-02T00:00:00"/>
    <n v="1000"/>
    <n v="0"/>
    <n v="1000"/>
    <n v="34000"/>
    <n v="34000000"/>
    <n v="0"/>
    <n v="279"/>
    <x v="0"/>
    <n v="34000000"/>
    <n v="0"/>
    <x v="1"/>
    <x v="1"/>
  </r>
  <r>
    <x v="276"/>
    <s v="TN-CEN-10"/>
    <x v="7"/>
    <x v="5"/>
    <d v="2026-01-29T00:00:00"/>
    <d v="2027-02-06T00:00:00"/>
    <n v="250"/>
    <n v="0"/>
    <n v="250"/>
    <n v="52000"/>
    <n v="13000000"/>
    <n v="0"/>
    <n v="102"/>
    <x v="0"/>
    <n v="13000000"/>
    <n v="0"/>
    <x v="0"/>
    <x v="0"/>
  </r>
  <r>
    <x v="277"/>
    <s v="SK-RET-07"/>
    <x v="0"/>
    <x v="0"/>
    <d v="2025-12-30T00:00:00"/>
    <d v="2027-01-07T00:00:00"/>
    <n v="500"/>
    <n v="0"/>
    <n v="500"/>
    <n v="79000"/>
    <n v="39500000"/>
    <n v="0"/>
    <n v="72"/>
    <x v="0"/>
    <n v="39500000"/>
    <n v="0"/>
    <x v="0"/>
    <x v="0"/>
  </r>
  <r>
    <x v="278"/>
    <s v="TN-AHA-04"/>
    <x v="9"/>
    <x v="5"/>
    <d v="2026-01-06T00:00:00"/>
    <d v="2026-10-07T00:00:00"/>
    <n v="300"/>
    <n v="300"/>
    <n v="0"/>
    <n v="49000"/>
    <n v="14700000"/>
    <n v="14700000"/>
    <n v="-20"/>
    <x v="1"/>
    <n v="0"/>
    <n v="0"/>
    <x v="2"/>
    <x v="2"/>
  </r>
  <r>
    <x v="279"/>
    <s v="SK-NNC-01"/>
    <x v="4"/>
    <x v="3"/>
    <d v="2025-09-04T00:00:00"/>
    <d v="2027-09-09T00:00:00"/>
    <n v="500"/>
    <n v="0"/>
    <n v="500"/>
    <n v="52000"/>
    <n v="26000000"/>
    <n v="0"/>
    <n v="317"/>
    <x v="0"/>
    <n v="26000000"/>
    <n v="0"/>
    <x v="1"/>
    <x v="1"/>
  </r>
  <r>
    <x v="280"/>
    <s v="TN-AHA-04"/>
    <x v="9"/>
    <x v="5"/>
    <d v="2025-08-05T00:00:00"/>
    <d v="2027-07-19T00:00:00"/>
    <n v="250"/>
    <n v="250"/>
    <n v="0"/>
    <n v="57000"/>
    <n v="14250000"/>
    <n v="14250000"/>
    <n v="265"/>
    <x v="0"/>
    <n v="0"/>
    <n v="0"/>
    <x v="1"/>
    <x v="1"/>
  </r>
  <r>
    <x v="281"/>
    <s v="CL-C20-03"/>
    <x v="1"/>
    <x v="1"/>
    <d v="2025-12-03T00:00:00"/>
    <d v="2027-11-19T00:00:00"/>
    <n v="250"/>
    <n v="0"/>
    <n v="250"/>
    <n v="33000"/>
    <n v="8250000"/>
    <n v="0"/>
    <n v="388"/>
    <x v="0"/>
    <n v="8250000"/>
    <n v="0"/>
    <x v="1"/>
    <x v="1"/>
  </r>
  <r>
    <x v="282"/>
    <s v="CL-MCL-08"/>
    <x v="6"/>
    <x v="1"/>
    <d v="2025-06-21T00:00:00"/>
    <d v="2027-06-03T00:00:00"/>
    <n v="500"/>
    <n v="0"/>
    <n v="500"/>
    <n v="28000"/>
    <n v="14000000"/>
    <n v="0"/>
    <n v="219"/>
    <x v="0"/>
    <n v="14000000"/>
    <n v="0"/>
    <x v="1"/>
    <x v="1"/>
  </r>
  <r>
    <x v="283"/>
    <s v="SK-RET-07"/>
    <x v="0"/>
    <x v="0"/>
    <d v="2026-03-25T00:00:00"/>
    <d v="2027-09-19T00:00:00"/>
    <n v="300"/>
    <n v="0"/>
    <n v="300"/>
    <n v="79000"/>
    <n v="23700000"/>
    <n v="0"/>
    <n v="327"/>
    <x v="0"/>
    <n v="23700000"/>
    <n v="0"/>
    <x v="1"/>
    <x v="1"/>
  </r>
  <r>
    <x v="284"/>
    <s v="MO-HYA-05"/>
    <x v="3"/>
    <x v="0"/>
    <d v="2025-07-11T00:00:00"/>
    <d v="2027-01-19T00:00:00"/>
    <n v="250"/>
    <n v="250"/>
    <n v="0"/>
    <n v="67000"/>
    <n v="16750000"/>
    <n v="16750000"/>
    <n v="84"/>
    <x v="0"/>
    <n v="0"/>
    <n v="0"/>
    <x v="0"/>
    <x v="0"/>
  </r>
  <r>
    <x v="285"/>
    <s v="SK-RET-07"/>
    <x v="0"/>
    <x v="0"/>
    <d v="2025-08-23T00:00:00"/>
    <d v="2027-08-08T00:00:00"/>
    <n v="300"/>
    <n v="0"/>
    <n v="300"/>
    <n v="83000"/>
    <n v="24900000"/>
    <n v="0"/>
    <n v="285"/>
    <x v="0"/>
    <n v="24900000"/>
    <n v="0"/>
    <x v="1"/>
    <x v="1"/>
  </r>
  <r>
    <x v="286"/>
    <s v="MK-CUS-09"/>
    <x v="8"/>
    <x v="2"/>
    <d v="2025-06-28T00:00:00"/>
    <d v="2026-12-14T00:00:00"/>
    <n v="100"/>
    <n v="100"/>
    <n v="0"/>
    <n v="85000"/>
    <n v="8500000"/>
    <n v="8500000"/>
    <n v="48"/>
    <x v="0"/>
    <n v="0"/>
    <n v="0"/>
    <x v="3"/>
    <x v="3"/>
  </r>
  <r>
    <x v="287"/>
    <s v="CL-MCL-08"/>
    <x v="6"/>
    <x v="1"/>
    <d v="2025-11-11T00:00:00"/>
    <d v="2027-10-31T00:00:00"/>
    <n v="200"/>
    <n v="0"/>
    <n v="200"/>
    <n v="26000"/>
    <n v="5200000"/>
    <n v="0"/>
    <n v="369"/>
    <x v="0"/>
    <n v="5200000"/>
    <n v="0"/>
    <x v="1"/>
    <x v="1"/>
  </r>
  <r>
    <x v="288"/>
    <s v="CL-C20-03"/>
    <x v="1"/>
    <x v="1"/>
    <d v="2025-09-26T00:00:00"/>
    <d v="2027-03-19T00:00:00"/>
    <n v="250"/>
    <n v="250"/>
    <n v="0"/>
    <n v="35000"/>
    <n v="8750000"/>
    <n v="8750000"/>
    <n v="143"/>
    <x v="0"/>
    <n v="0"/>
    <n v="0"/>
    <x v="0"/>
    <x v="0"/>
  </r>
  <r>
    <x v="289"/>
    <s v="MK-CUS-09"/>
    <x v="8"/>
    <x v="2"/>
    <d v="2026-02-12T00:00:00"/>
    <d v="2026-11-01T00:00:00"/>
    <n v="300"/>
    <n v="0"/>
    <n v="300"/>
    <n v="85000"/>
    <n v="25500000"/>
    <n v="0"/>
    <n v="5"/>
    <x v="2"/>
    <n v="25500000"/>
    <n v="25500000"/>
    <x v="3"/>
    <x v="3"/>
  </r>
  <r>
    <x v="290"/>
    <s v="MK-CUS-09"/>
    <x v="8"/>
    <x v="2"/>
    <d v="2025-08-03T00:00:00"/>
    <d v="2027-05-12T00:00:00"/>
    <n v="100"/>
    <n v="100"/>
    <n v="0"/>
    <n v="89000"/>
    <n v="8900000"/>
    <n v="8900000"/>
    <n v="197"/>
    <x v="0"/>
    <n v="0"/>
    <n v="0"/>
    <x v="1"/>
    <x v="1"/>
  </r>
  <r>
    <x v="291"/>
    <s v="MO-HYA-05"/>
    <x v="3"/>
    <x v="0"/>
    <d v="2025-12-21T00:00:00"/>
    <d v="2027-09-18T00:00:00"/>
    <n v="500"/>
    <n v="0"/>
    <n v="500"/>
    <n v="67000"/>
    <n v="33500000"/>
    <n v="0"/>
    <n v="326"/>
    <x v="0"/>
    <n v="33500000"/>
    <n v="0"/>
    <x v="1"/>
    <x v="1"/>
  </r>
  <r>
    <x v="292"/>
    <s v="MK-LIP-06"/>
    <x v="2"/>
    <x v="2"/>
    <d v="2025-09-16T00:00:00"/>
    <d v="2027-09-15T00:00:00"/>
    <n v="200"/>
    <n v="0"/>
    <n v="200"/>
    <n v="29000"/>
    <n v="5800000"/>
    <n v="0"/>
    <n v="323"/>
    <x v="0"/>
    <n v="5800000"/>
    <n v="0"/>
    <x v="1"/>
    <x v="1"/>
  </r>
  <r>
    <x v="293"/>
    <s v="MK-CUS-09"/>
    <x v="8"/>
    <x v="2"/>
    <d v="2026-03-20T00:00:00"/>
    <d v="2028-03-22T00:00:00"/>
    <n v="300"/>
    <n v="0"/>
    <n v="300"/>
    <n v="87000"/>
    <n v="26100000"/>
    <n v="0"/>
    <n v="512"/>
    <x v="0"/>
    <n v="26100000"/>
    <n v="0"/>
    <x v="1"/>
    <x v="1"/>
  </r>
  <r>
    <x v="294"/>
    <s v="MK-LIP-06"/>
    <x v="2"/>
    <x v="2"/>
    <d v="2026-01-31T00:00:00"/>
    <d v="2027-06-15T00:00:00"/>
    <n v="300"/>
    <n v="300"/>
    <n v="0"/>
    <n v="33000"/>
    <n v="9900000"/>
    <n v="9900000"/>
    <n v="231"/>
    <x v="0"/>
    <n v="0"/>
    <n v="0"/>
    <x v="1"/>
    <x v="1"/>
  </r>
  <r>
    <x v="295"/>
    <s v="TN-CEN-10"/>
    <x v="7"/>
    <x v="5"/>
    <d v="2026-03-03T00:00:00"/>
    <d v="2028-02-29T00:00:00"/>
    <n v="300"/>
    <n v="0"/>
    <n v="300"/>
    <n v="53000"/>
    <n v="15900000"/>
    <n v="0"/>
    <n v="490"/>
    <x v="0"/>
    <n v="15900000"/>
    <n v="0"/>
    <x v="1"/>
    <x v="1"/>
  </r>
  <r>
    <x v="296"/>
    <s v="MK-CUS-09"/>
    <x v="8"/>
    <x v="2"/>
    <d v="2026-03-12T00:00:00"/>
    <d v="2027-09-11T00:00:00"/>
    <n v="300"/>
    <n v="0"/>
    <n v="300"/>
    <n v="86000"/>
    <n v="25800000"/>
    <n v="0"/>
    <n v="319"/>
    <x v="0"/>
    <n v="25800000"/>
    <n v="0"/>
    <x v="1"/>
    <x v="1"/>
  </r>
  <r>
    <x v="297"/>
    <s v="SK-RET-07"/>
    <x v="0"/>
    <x v="0"/>
    <d v="2026-03-21T00:00:00"/>
    <d v="2027-09-01T00:00:00"/>
    <n v="250"/>
    <n v="0"/>
    <n v="250"/>
    <n v="76000"/>
    <n v="19000000"/>
    <n v="0"/>
    <n v="309"/>
    <x v="0"/>
    <n v="19000000"/>
    <n v="0"/>
    <x v="1"/>
    <x v="1"/>
  </r>
  <r>
    <x v="298"/>
    <s v="TN-CEN-10"/>
    <x v="7"/>
    <x v="5"/>
    <d v="2025-06-08T00:00:00"/>
    <d v="2027-05-14T00:00:00"/>
    <n v="500"/>
    <n v="0"/>
    <n v="500"/>
    <n v="57000"/>
    <n v="28500000"/>
    <n v="0"/>
    <n v="199"/>
    <x v="0"/>
    <n v="28500000"/>
    <n v="0"/>
    <x v="1"/>
    <x v="1"/>
  </r>
  <r>
    <x v="299"/>
    <s v="MO-HYA-05"/>
    <x v="3"/>
    <x v="0"/>
    <d v="2025-08-25T00:00:00"/>
    <d v="2027-02-06T00:00:00"/>
    <n v="500"/>
    <n v="500"/>
    <n v="0"/>
    <n v="69000"/>
    <n v="34500000"/>
    <n v="34500000"/>
    <n v="102"/>
    <x v="0"/>
    <n v="0"/>
    <n v="0"/>
    <x v="0"/>
    <x v="0"/>
  </r>
  <r>
    <x v="300"/>
    <s v="TN-CEN-10"/>
    <x v="7"/>
    <x v="5"/>
    <d v="2025-09-22T00:00:00"/>
    <d v="2027-03-31T00:00:00"/>
    <n v="750"/>
    <n v="0"/>
    <n v="750"/>
    <n v="59000"/>
    <n v="44250000"/>
    <n v="0"/>
    <n v="155"/>
    <x v="0"/>
    <n v="44250000"/>
    <n v="0"/>
    <x v="0"/>
    <x v="0"/>
  </r>
  <r>
    <x v="301"/>
    <s v="SK-NNC-01"/>
    <x v="4"/>
    <x v="3"/>
    <d v="2025-08-15T00:00:00"/>
    <d v="2027-01-21T00:00:00"/>
    <n v="300"/>
    <n v="300"/>
    <n v="0"/>
    <n v="45000"/>
    <n v="13500000"/>
    <n v="13500000"/>
    <n v="86"/>
    <x v="0"/>
    <n v="0"/>
    <n v="0"/>
    <x v="0"/>
    <x v="0"/>
  </r>
  <r>
    <x v="302"/>
    <s v="SK-NNC-01"/>
    <x v="4"/>
    <x v="3"/>
    <d v="2025-10-25T00:00:00"/>
    <d v="2027-10-13T00:00:00"/>
    <n v="250"/>
    <n v="0"/>
    <n v="250"/>
    <n v="49000"/>
    <n v="12250000"/>
    <n v="0"/>
    <n v="351"/>
    <x v="0"/>
    <n v="12250000"/>
    <n v="0"/>
    <x v="1"/>
    <x v="1"/>
  </r>
  <r>
    <x v="303"/>
    <s v="MK-CUS-09"/>
    <x v="8"/>
    <x v="2"/>
    <d v="2025-08-29T00:00:00"/>
    <d v="2027-05-12T00:00:00"/>
    <n v="1000"/>
    <n v="1000"/>
    <n v="0"/>
    <n v="90000"/>
    <n v="90000000"/>
    <n v="90000000"/>
    <n v="197"/>
    <x v="0"/>
    <n v="0"/>
    <n v="0"/>
    <x v="1"/>
    <x v="1"/>
  </r>
  <r>
    <x v="304"/>
    <s v="MK-CUS-09"/>
    <x v="8"/>
    <x v="2"/>
    <d v="2025-11-08T00:00:00"/>
    <d v="2027-08-05T00:00:00"/>
    <n v="500"/>
    <n v="350"/>
    <n v="150"/>
    <n v="89000"/>
    <n v="44500000"/>
    <n v="31150000"/>
    <n v="282"/>
    <x v="0"/>
    <n v="13350000"/>
    <n v="0"/>
    <x v="1"/>
    <x v="1"/>
  </r>
  <r>
    <x v="305"/>
    <s v="MK-CUS-09"/>
    <x v="8"/>
    <x v="2"/>
    <d v="2025-09-06T00:00:00"/>
    <d v="2027-06-01T00:00:00"/>
    <n v="750"/>
    <n v="750"/>
    <n v="0"/>
    <n v="87000"/>
    <n v="65250000"/>
    <n v="65250000"/>
    <n v="217"/>
    <x v="0"/>
    <n v="0"/>
    <n v="0"/>
    <x v="1"/>
    <x v="1"/>
  </r>
  <r>
    <x v="306"/>
    <s v="MK-LIP-06"/>
    <x v="2"/>
    <x v="2"/>
    <d v="2025-08-21T00:00:00"/>
    <d v="2027-02-19T00:00:00"/>
    <n v="250"/>
    <n v="0"/>
    <n v="250"/>
    <n v="30000"/>
    <n v="7500000"/>
    <n v="0"/>
    <n v="115"/>
    <x v="0"/>
    <n v="7500000"/>
    <n v="0"/>
    <x v="0"/>
    <x v="0"/>
  </r>
  <r>
    <x v="307"/>
    <s v="SK-NNC-01"/>
    <x v="4"/>
    <x v="3"/>
    <d v="2025-08-28T00:00:00"/>
    <d v="2027-05-10T00:00:00"/>
    <n v="250"/>
    <n v="0"/>
    <n v="250"/>
    <n v="51000"/>
    <n v="12750000"/>
    <n v="0"/>
    <n v="195"/>
    <x v="0"/>
    <n v="12750000"/>
    <n v="0"/>
    <x v="1"/>
    <x v="1"/>
  </r>
  <r>
    <x v="308"/>
    <s v="MO-HYA-05"/>
    <x v="3"/>
    <x v="0"/>
    <d v="2025-09-01T00:00:00"/>
    <d v="2027-05-30T00:00:00"/>
    <n v="300"/>
    <n v="0"/>
    <n v="300"/>
    <n v="62000"/>
    <n v="18600000"/>
    <n v="0"/>
    <n v="215"/>
    <x v="0"/>
    <n v="18600000"/>
    <n v="0"/>
    <x v="1"/>
    <x v="1"/>
  </r>
  <r>
    <x v="309"/>
    <s v="MK-LIP-06"/>
    <x v="2"/>
    <x v="2"/>
    <d v="2026-02-22T00:00:00"/>
    <d v="2027-02-15T00:00:00"/>
    <n v="300"/>
    <n v="0"/>
    <n v="300"/>
    <n v="29000"/>
    <n v="8700000"/>
    <n v="0"/>
    <n v="111"/>
    <x v="0"/>
    <n v="8700000"/>
    <n v="0"/>
    <x v="0"/>
    <x v="0"/>
  </r>
  <r>
    <x v="310"/>
    <s v="MK-CUS-09"/>
    <x v="8"/>
    <x v="2"/>
    <d v="2025-06-03T00:00:00"/>
    <d v="2027-05-21T00:00:00"/>
    <n v="300"/>
    <n v="300"/>
    <n v="0"/>
    <n v="90000"/>
    <n v="27000000"/>
    <n v="27000000"/>
    <n v="206"/>
    <x v="0"/>
    <n v="0"/>
    <n v="0"/>
    <x v="1"/>
    <x v="1"/>
  </r>
  <r>
    <x v="311"/>
    <s v="MO-HYA-05"/>
    <x v="3"/>
    <x v="0"/>
    <d v="2026-01-07T00:00:00"/>
    <d v="2027-09-30T00:00:00"/>
    <n v="200"/>
    <n v="0"/>
    <n v="200"/>
    <n v="64000"/>
    <n v="12800000"/>
    <n v="0"/>
    <n v="338"/>
    <x v="0"/>
    <n v="12800000"/>
    <n v="0"/>
    <x v="1"/>
    <x v="1"/>
  </r>
  <r>
    <x v="312"/>
    <s v="TN-AHA-04"/>
    <x v="9"/>
    <x v="5"/>
    <d v="2026-02-26T00:00:00"/>
    <d v="2026-11-30T00:00:00"/>
    <n v="500"/>
    <n v="0"/>
    <n v="500"/>
    <n v="49000"/>
    <n v="24500000"/>
    <n v="0"/>
    <n v="34"/>
    <x v="0"/>
    <n v="24500000"/>
    <n v="24500000"/>
    <x v="3"/>
    <x v="3"/>
  </r>
  <r>
    <x v="313"/>
    <s v="MO-HYA-05"/>
    <x v="3"/>
    <x v="0"/>
    <d v="2025-09-15T00:00:00"/>
    <d v="2026-12-13T00:00:00"/>
    <n v="100"/>
    <n v="100"/>
    <n v="0"/>
    <n v="68000"/>
    <n v="6800000"/>
    <n v="6800000"/>
    <n v="47"/>
    <x v="0"/>
    <n v="0"/>
    <n v="0"/>
    <x v="3"/>
    <x v="3"/>
  </r>
  <r>
    <x v="314"/>
    <s v="TN-AHA-04"/>
    <x v="9"/>
    <x v="5"/>
    <d v="2025-12-20T00:00:00"/>
    <d v="2027-09-04T00:00:00"/>
    <n v="750"/>
    <n v="750"/>
    <n v="0"/>
    <n v="53000"/>
    <n v="39750000"/>
    <n v="39750000"/>
    <n v="312"/>
    <x v="0"/>
    <n v="0"/>
    <n v="0"/>
    <x v="1"/>
    <x v="1"/>
  </r>
  <r>
    <x v="315"/>
    <s v="CL-C20-03"/>
    <x v="1"/>
    <x v="1"/>
    <d v="2026-03-17T00:00:00"/>
    <d v="2027-09-01T00:00:00"/>
    <n v="200"/>
    <n v="0"/>
    <n v="200"/>
    <n v="35000"/>
    <n v="7000000"/>
    <n v="0"/>
    <n v="309"/>
    <x v="0"/>
    <n v="7000000"/>
    <n v="0"/>
    <x v="1"/>
    <x v="1"/>
  </r>
  <r>
    <x v="316"/>
    <s v="CL-C20-03"/>
    <x v="1"/>
    <x v="1"/>
    <d v="2025-10-14T00:00:00"/>
    <d v="2027-06-29T00:00:00"/>
    <n v="500"/>
    <n v="0"/>
    <n v="500"/>
    <n v="33000"/>
    <n v="16500000"/>
    <n v="0"/>
    <n v="245"/>
    <x v="0"/>
    <n v="16500000"/>
    <n v="0"/>
    <x v="1"/>
    <x v="1"/>
  </r>
  <r>
    <x v="317"/>
    <s v="SK-NNC-01"/>
    <x v="4"/>
    <x v="3"/>
    <d v="2025-08-16T00:00:00"/>
    <d v="2027-05-22T00:00:00"/>
    <n v="300"/>
    <n v="0"/>
    <n v="300"/>
    <n v="51000"/>
    <n v="15300000"/>
    <n v="0"/>
    <n v="207"/>
    <x v="0"/>
    <n v="15300000"/>
    <n v="0"/>
    <x v="1"/>
    <x v="1"/>
  </r>
  <r>
    <x v="318"/>
    <s v="TN-CEN-10"/>
    <x v="7"/>
    <x v="5"/>
    <d v="2025-07-09T00:00:00"/>
    <d v="2027-06-25T00:00:00"/>
    <n v="200"/>
    <n v="0"/>
    <n v="200"/>
    <n v="52000"/>
    <n v="10400000"/>
    <n v="0"/>
    <n v="241"/>
    <x v="0"/>
    <n v="10400000"/>
    <n v="0"/>
    <x v="1"/>
    <x v="1"/>
  </r>
  <r>
    <x v="319"/>
    <s v="TN-CEN-10"/>
    <x v="7"/>
    <x v="5"/>
    <d v="2026-03-25T00:00:00"/>
    <d v="2028-03-18T00:00:00"/>
    <n v="250"/>
    <n v="0"/>
    <n v="250"/>
    <n v="58000"/>
    <n v="14500000"/>
    <n v="0"/>
    <n v="508"/>
    <x v="0"/>
    <n v="14500000"/>
    <n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BC839F-1625-4B9A-AE7B-EE57EEE20295}" name="Pivot 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25:G30" firstHeaderRow="1" firstDataRow="2" firstDataCol="1"/>
  <pivotFields count="18">
    <pivotField compact="0" outline="0" showAll="0"/>
    <pivotField compact="0" outline="0" showAll="0"/>
    <pivotField compact="0" outline="0" showAll="0"/>
    <pivotField axis="axisCol" compact="0" outline="0" showAll="0">
      <items count="7">
        <item x="1"/>
        <item x="2"/>
        <item x="0"/>
        <item x="3"/>
        <item x="4"/>
        <item x="5"/>
        <item t="default"/>
      </items>
    </pivotField>
    <pivotField compact="0" outline="0" showAll="0"/>
    <pivotField compact="0" outline="0" showAll="0"/>
    <pivotField compact="0" numFmtId="3" outline="0" showAll="0"/>
    <pivotField compact="0" numFmtId="3" outline="0" showAll="0"/>
    <pivotField dataField="1" compact="0" numFmtId="3" outline="0" showAll="0"/>
    <pivotField compact="0" outline="0" showAll="0"/>
    <pivotField compact="0" numFmtId="164" outline="0" showAll="0"/>
    <pivotField compact="0" numFmtId="164" outline="0" showAll="0"/>
    <pivotField compact="0" outline="0" showAll="0"/>
    <pivotField compact="0" outline="0" showAll="0"/>
    <pivotField compact="0" numFmtId="165" outline="0" showAll="0"/>
    <pivotField compact="0" numFmtId="166" outline="0" showAll="0"/>
    <pivotField compact="0" outline="0" showAll="0"/>
    <pivotField axis="axisRow" compact="0" outline="0" showAll="0">
      <items count="5">
        <item x="3"/>
        <item x="0"/>
        <item x="1"/>
        <item x="2"/>
        <item t="default"/>
      </items>
    </pivotField>
  </pivotFields>
  <rowFields count="1">
    <field x="17"/>
  </rowFields>
  <rowItems count="4">
    <i>
      <x/>
    </i>
    <i>
      <x v="1"/>
    </i>
    <i>
      <x v="2"/>
    </i>
    <i>
      <x v="3"/>
    </i>
  </rowItems>
  <colFields count="1">
    <field x="3"/>
  </colFields>
  <colItems count="6">
    <i>
      <x/>
    </i>
    <i>
      <x v="1"/>
    </i>
    <i>
      <x v="2"/>
    </i>
    <i>
      <x v="3"/>
    </i>
    <i>
      <x v="4"/>
    </i>
    <i>
      <x v="5"/>
    </i>
  </colItems>
  <dataFields count="1">
    <dataField name="Qty Remaining" fld="8" baseField="0" baseItem="0" numFmtId="3"/>
  </dataFields>
  <chartFormats count="7">
    <chartFormat chart="20" format="12" series="1">
      <pivotArea type="data" outline="0" fieldPosition="0">
        <references count="2">
          <reference field="4294967294" count="1" selected="0">
            <x v="0"/>
          </reference>
          <reference field="3" count="1" selected="0">
            <x v="0"/>
          </reference>
        </references>
      </pivotArea>
    </chartFormat>
    <chartFormat chart="20" format="13" series="1">
      <pivotArea type="data" outline="0" fieldPosition="0">
        <references count="2">
          <reference field="4294967294" count="1" selected="0">
            <x v="0"/>
          </reference>
          <reference field="3" count="1" selected="0">
            <x v="1"/>
          </reference>
        </references>
      </pivotArea>
    </chartFormat>
    <chartFormat chart="20" format="14" series="1">
      <pivotArea type="data" outline="0" fieldPosition="0">
        <references count="2">
          <reference field="4294967294" count="1" selected="0">
            <x v="0"/>
          </reference>
          <reference field="3" count="1" selected="0">
            <x v="2"/>
          </reference>
        </references>
      </pivotArea>
    </chartFormat>
    <chartFormat chart="20" format="15" series="1">
      <pivotArea type="data" outline="0" fieldPosition="0">
        <references count="2">
          <reference field="4294967294" count="1" selected="0">
            <x v="0"/>
          </reference>
          <reference field="3" count="1" selected="0">
            <x v="3"/>
          </reference>
        </references>
      </pivotArea>
    </chartFormat>
    <chartFormat chart="20" format="16" series="1">
      <pivotArea type="data" outline="0" fieldPosition="0">
        <references count="2">
          <reference field="4294967294" count="1" selected="0">
            <x v="0"/>
          </reference>
          <reference field="3" count="1" selected="0">
            <x v="4"/>
          </reference>
        </references>
      </pivotArea>
    </chartFormat>
    <chartFormat chart="20" format="17" series="1">
      <pivotArea type="data" outline="0" fieldPosition="0">
        <references count="2">
          <reference field="4294967294" count="1" selected="0">
            <x v="0"/>
          </reference>
          <reference field="3" count="1" selected="0">
            <x v="5"/>
          </reference>
        </references>
      </pivotArea>
    </chartFormat>
    <chartFormat chart="20" format="18"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2C8A59-EC39-4F8C-AD09-84FE97BB5378}" name="Pivot 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16:B21" firstHeaderRow="1" firstDataRow="1" firstDataCol="1"/>
  <pivotFields count="18">
    <pivotField compact="0" outline="0" showAll="0" defaultSubtotal="0"/>
    <pivotField compact="0" outline="0" showAll="0" defaultSubtotal="0"/>
    <pivotField compact="0" outline="0" showAll="0" defaultSubtotal="0"/>
    <pivotField compact="0" outline="0" showAll="0" defaultSubtotal="0">
      <items count="6">
        <item x="1"/>
        <item x="2"/>
        <item x="0"/>
        <item x="3"/>
        <item x="4"/>
        <item x="5"/>
      </items>
    </pivotField>
    <pivotField compact="0" outline="0" showAll="0" defaultSubtotal="0"/>
    <pivotField compact="0" outline="0" showAll="0" defaultSubtotal="0"/>
    <pivotField compact="0" numFmtId="3" outline="0" showAll="0" defaultSubtotal="0"/>
    <pivotField compact="0" numFmtId="3" outline="0" showAll="0" defaultSubtotal="0"/>
    <pivotField dataField="1" compact="0" numFmtId="3" outline="0" showAll="0" defaultSubtotal="0"/>
    <pivotField compact="0" outline="0" showAll="0" defaultSubtotal="0"/>
    <pivotField compact="0" numFmtId="164" outline="0" showAll="0" defaultSubtotal="0"/>
    <pivotField compact="0" numFmtId="164" outline="0" showAll="0" defaultSubtotal="0"/>
    <pivotField compact="0" outline="0" showAll="0" defaultSubtotal="0"/>
    <pivotField compact="0" outline="0" subtotalTop="0" showAll="0" defaultSubtotal="0"/>
    <pivotField compact="0" numFmtId="165" outline="0" showAll="0" defaultSubtotal="0"/>
    <pivotField compact="0" numFmtId="166" outline="0" showAll="0" defaultSubtotal="0"/>
    <pivotField axis="axisRow" compact="0" outline="0" showAll="0" defaultSubtotal="0">
      <items count="4">
        <item x="3"/>
        <item x="2"/>
        <item x="1"/>
        <item x="0"/>
      </items>
    </pivotField>
    <pivotField compact="0" outline="0" showAll="0" defaultSubtotal="0"/>
  </pivotFields>
  <rowFields count="1">
    <field x="16"/>
  </rowFields>
  <rowItems count="5">
    <i>
      <x/>
    </i>
    <i>
      <x v="1"/>
    </i>
    <i>
      <x v="2"/>
    </i>
    <i>
      <x v="3"/>
    </i>
    <i t="grand">
      <x/>
    </i>
  </rowItems>
  <colItems count="1">
    <i/>
  </colItems>
  <dataFields count="1">
    <dataField name="Quantity Remaining" fld="8" baseField="15" baseItem="0" numFmtId="3"/>
  </dataFields>
  <chartFormats count="5">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16" count="1" selected="0">
            <x v="0"/>
          </reference>
        </references>
      </pivotArea>
    </chartFormat>
    <chartFormat chart="18" format="12">
      <pivotArea type="data" outline="0" fieldPosition="0">
        <references count="2">
          <reference field="4294967294" count="1" selected="0">
            <x v="0"/>
          </reference>
          <reference field="16" count="1" selected="0">
            <x v="1"/>
          </reference>
        </references>
      </pivotArea>
    </chartFormat>
    <chartFormat chart="18" format="13">
      <pivotArea type="data" outline="0" fieldPosition="0">
        <references count="2">
          <reference field="4294967294" count="1" selected="0">
            <x v="0"/>
          </reference>
          <reference field="16" count="1" selected="0">
            <x v="2"/>
          </reference>
        </references>
      </pivotArea>
    </chartFormat>
    <chartFormat chart="18" format="14">
      <pivotArea type="data" outline="0" fieldPosition="0">
        <references count="2">
          <reference field="4294967294" count="1" selected="0">
            <x v="0"/>
          </reference>
          <reference field="16"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AF3E6D-7C3F-4C2F-9D07-D87416C0FF0A}" name="Pivot 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D16:E21" firstHeaderRow="1" firstDataRow="1" firstDataCol="1"/>
  <pivotFields count="18">
    <pivotField compact="0" outline="0" showAll="0"/>
    <pivotField compact="0" outline="0" showAll="0"/>
    <pivotField compact="0" outline="0" showAll="0"/>
    <pivotField compact="0" outline="0" showAll="0">
      <items count="7">
        <item x="1"/>
        <item x="2"/>
        <item x="0"/>
        <item x="3"/>
        <item x="4"/>
        <item x="5"/>
        <item t="default"/>
      </items>
    </pivotField>
    <pivotField compact="0" outline="0" showAll="0"/>
    <pivotField compact="0" outline="0" showAll="0"/>
    <pivotField compact="0" numFmtId="3" outline="0" showAll="0"/>
    <pivotField compact="0" numFmtId="3" outline="0" showAll="0"/>
    <pivotField compact="0" numFmtId="3" outline="0" showAll="0"/>
    <pivotField compact="0" outline="0" showAll="0"/>
    <pivotField compact="0" numFmtId="164" outline="0" showAll="0"/>
    <pivotField compact="0" numFmtId="164" outline="0" showAll="0"/>
    <pivotField compact="0" outline="0" showAll="0"/>
    <pivotField compact="0" outline="0" showAll="0"/>
    <pivotField dataField="1" compact="0" numFmtId="165" outline="0" showAll="0"/>
    <pivotField compact="0" numFmtId="166" outline="0" showAll="0"/>
    <pivotField axis="axisRow" compact="0" outline="0" showAll="0">
      <items count="5">
        <item x="3"/>
        <item x="2"/>
        <item x="1"/>
        <item x="0"/>
        <item t="default"/>
      </items>
    </pivotField>
    <pivotField compact="0" outline="0" showAll="0"/>
  </pivotFields>
  <rowFields count="1">
    <field x="16"/>
  </rowFields>
  <rowItems count="5">
    <i>
      <x/>
    </i>
    <i>
      <x v="1"/>
    </i>
    <i>
      <x v="2"/>
    </i>
    <i>
      <x v="3"/>
    </i>
    <i t="grand">
      <x/>
    </i>
  </rowItems>
  <colItems count="1">
    <i/>
  </colItems>
  <dataFields count="1">
    <dataField name="Ending Inventory Value" fld="14" baseField="15" baseItem="0" numFmtId="165"/>
  </dataFields>
  <chartFormats count="5">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16" count="1" selected="0">
            <x v="0"/>
          </reference>
        </references>
      </pivotArea>
    </chartFormat>
    <chartFormat chart="19" format="18">
      <pivotArea type="data" outline="0" fieldPosition="0">
        <references count="2">
          <reference field="4294967294" count="1" selected="0">
            <x v="0"/>
          </reference>
          <reference field="16" count="1" selected="0">
            <x v="1"/>
          </reference>
        </references>
      </pivotArea>
    </chartFormat>
    <chartFormat chart="19" format="19">
      <pivotArea type="data" outline="0" fieldPosition="0">
        <references count="2">
          <reference field="4294967294" count="1" selected="0">
            <x v="0"/>
          </reference>
          <reference field="16" count="1" selected="0">
            <x v="2"/>
          </reference>
        </references>
      </pivotArea>
    </chartFormat>
    <chartFormat chart="19" format="20">
      <pivotArea type="data" outline="0" fieldPosition="0">
        <references count="2">
          <reference field="4294967294" count="1" selected="0">
            <x v="0"/>
          </reference>
          <reference field="16"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0D0E9E-FDD5-42EE-AA9F-20FD91A1792A}" name="Pivot 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46:B51" firstHeaderRow="1" firstDataRow="1" firstDataCol="1"/>
  <pivotFields count="18">
    <pivotField compact="0" outline="0" showAll="0" defaultSubtotal="0"/>
    <pivotField compact="0" outline="0" showAll="0" defaultSubtotal="0"/>
    <pivotField axis="axisRow" compact="0" outline="0" showAll="0" measureFilter="1" sortType="descending" defaultSubtotal="0">
      <items count="10">
        <item x="9"/>
        <item x="7"/>
        <item x="8"/>
        <item x="3"/>
        <item x="6"/>
        <item x="4"/>
        <item x="0"/>
        <item x="5"/>
        <item x="2"/>
        <item x="1"/>
      </items>
      <autoSortScope>
        <pivotArea dataOnly="0" outline="0" fieldPosition="0">
          <references count="1">
            <reference field="4294967294" count="1" selected="0">
              <x v="0"/>
            </reference>
          </references>
        </pivotArea>
      </autoSortScope>
    </pivotField>
    <pivotField compact="0" outline="0" showAll="0" defaultSubtotal="0">
      <items count="6">
        <item x="1"/>
        <item x="2"/>
        <item x="0"/>
        <item x="3"/>
        <item x="4"/>
        <item x="5"/>
      </items>
    </pivotField>
    <pivotField compact="0" numFmtId="15" outline="0" showAll="0" defaultSubtotal="0"/>
    <pivotField compact="0" numFmtId="15" outline="0" showAll="0" defaultSubtotal="0"/>
    <pivotField compact="0" numFmtId="3" outline="0" showAll="0" defaultSubtotal="0"/>
    <pivotField compact="0" numFmtId="3" outline="0" showAll="0" defaultSubtotal="0"/>
    <pivotField compact="0" numFmtId="3" outline="0" showAll="0" defaultSubtotal="0"/>
    <pivotField compact="0" numFmtId="164" outline="0" showAll="0" defaultSubtotal="0"/>
    <pivotField compact="0" numFmtId="164" outline="0" showAll="0" defaultSubtotal="0"/>
    <pivotField compact="0" numFmtId="164" outline="0" showAll="0" defaultSubtotal="0"/>
    <pivotField compact="0" numFmtId="3" outline="0" showAll="0" defaultSubtotal="0"/>
    <pivotField compact="0" outline="0" subtotalTop="0" showAll="0" defaultSubtotal="0"/>
    <pivotField dataField="1" compact="0" numFmtId="165" outline="0" showAll="0" defaultSubtotal="0"/>
    <pivotField compact="0" numFmtId="166" outline="0" showAll="0" defaultSubtotal="0"/>
    <pivotField compact="0" outline="0" multipleItemSelectionAllowed="1" showAll="0" defaultSubtotal="0"/>
    <pivotField compact="0" outline="0" showAll="0" defaultSubtotal="0"/>
  </pivotFields>
  <rowFields count="1">
    <field x="2"/>
  </rowFields>
  <rowItems count="5">
    <i>
      <x v="1"/>
    </i>
    <i>
      <x v="6"/>
    </i>
    <i>
      <x v="5"/>
    </i>
    <i>
      <x v="2"/>
    </i>
    <i>
      <x v="9"/>
    </i>
  </rowItems>
  <colItems count="1">
    <i/>
  </colItems>
  <dataFields count="1">
    <dataField name="Ending Inventory Value" fld="14" baseField="2" baseItem="1" numFmtId="165"/>
  </dataFields>
  <chartFormats count="1">
    <chartFormat chart="8" format="4"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347EB8-BCBC-4272-9485-36DD117FA6E3}" name="Last Pivo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8">
  <location ref="K16:L23" firstHeaderRow="1" firstDataRow="1" firstDataCol="1" rowPageCount="1" colPageCount="1"/>
  <pivotFields count="18">
    <pivotField compact="0" showAll="0" defaultSubtotal="0"/>
    <pivotField compact="0" showAll="0" defaultSubtotal="0"/>
    <pivotField axis="axisRow" compact="0" showAll="0" sortType="descending" defaultSubtotal="0">
      <items count="10">
        <item x="9"/>
        <item x="7"/>
        <item x="8"/>
        <item x="3"/>
        <item x="6"/>
        <item x="4"/>
        <item x="0"/>
        <item x="5"/>
        <item x="2"/>
        <item x="1"/>
      </items>
      <autoSortScope>
        <pivotArea dataOnly="0" outline="0" fieldPosition="0">
          <references count="1">
            <reference field="4294967294" count="1" selected="0">
              <x v="0"/>
            </reference>
          </references>
        </pivotArea>
      </autoSortScope>
    </pivotField>
    <pivotField compact="0" showAll="0" defaultSubtotal="0">
      <items count="6">
        <item x="1"/>
        <item x="2"/>
        <item x="0"/>
        <item x="3"/>
        <item x="4"/>
        <item x="5"/>
      </items>
    </pivotField>
    <pivotField compact="0" showAll="0" defaultSubtotal="0"/>
    <pivotField compact="0" showAll="0" defaultSubtotal="0"/>
    <pivotField compact="0" numFmtId="3" showAll="0" defaultSubtotal="0"/>
    <pivotField compact="0" numFmtId="3" showAll="0" defaultSubtotal="0"/>
    <pivotField compact="0" numFmtId="3" showAll="0" defaultSubtotal="0"/>
    <pivotField compact="0" showAll="0" defaultSubtotal="0"/>
    <pivotField compact="0" numFmtId="164" showAll="0" defaultSubtotal="0"/>
    <pivotField compact="0" numFmtId="164" showAll="0" defaultSubtotal="0"/>
    <pivotField dataField="1" compact="0" showAll="0" defaultSubtotal="0"/>
    <pivotField axis="axisPage" compact="0" multipleItemSelectionAllowed="1" showAll="0" defaultSubtotal="0">
      <items count="3">
        <item h="1" x="1"/>
        <item x="2"/>
        <item h="1" x="0"/>
      </items>
    </pivotField>
    <pivotField compact="0" numFmtId="165" showAll="0" defaultSubtotal="0"/>
    <pivotField compact="0" numFmtId="166" showAll="0" defaultSubtotal="0"/>
    <pivotField compact="0" showAll="0" defaultSubtotal="0"/>
    <pivotField compact="0" showAll="0" defaultSubtotal="0"/>
  </pivotFields>
  <rowFields count="1">
    <field x="2"/>
  </rowFields>
  <rowItems count="7">
    <i>
      <x v="6"/>
    </i>
    <i>
      <x v="9"/>
    </i>
    <i>
      <x v="3"/>
    </i>
    <i>
      <x/>
    </i>
    <i>
      <x v="2"/>
    </i>
    <i>
      <x v="1"/>
    </i>
    <i>
      <x v="8"/>
    </i>
  </rowItems>
  <colItems count="1">
    <i/>
  </colItems>
  <pageFields count="1">
    <pageField fld="13" hier="-1"/>
  </pageFields>
  <dataFields count="1">
    <dataField name="Days To Expiry" fld="12" subtotal="min" baseField="2" baseItem="8" numFmtId="167"/>
  </dataFields>
  <formats count="2">
    <format dxfId="22">
      <pivotArea outline="0" collapsedLevelsAreSubtotals="1" fieldPosition="0"/>
    </format>
    <format dxfId="2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22672D-1DEB-4F8F-8300-DB5F01A0A9AC}" name="Pivot 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7:B42" firstHeaderRow="1" firstDataRow="1" firstDataCol="1" rowPageCount="1" colPageCount="1"/>
  <pivotFields count="18">
    <pivotField compact="0" outline="0" showAll="0" defaultSubtotal="0"/>
    <pivotField compact="0" outline="0" showAll="0" defaultSubtotal="0"/>
    <pivotField axis="axisRow" compact="0" outline="0" showAll="0" measureFilter="1" sortType="descending" defaultSubtotal="0">
      <items count="10">
        <item x="9"/>
        <item x="7"/>
        <item x="8"/>
        <item x="3"/>
        <item x="6"/>
        <item x="4"/>
        <item x="0"/>
        <item x="5"/>
        <item x="2"/>
        <item x="1"/>
      </items>
      <autoSortScope>
        <pivotArea dataOnly="0" outline="0" fieldPosition="0">
          <references count="1">
            <reference field="4294967294" count="1" selected="0">
              <x v="0"/>
            </reference>
          </references>
        </pivotArea>
      </autoSortScope>
    </pivotField>
    <pivotField compact="0" outline="0" showAll="0" defaultSubtotal="0">
      <items count="6">
        <item x="1"/>
        <item x="2"/>
        <item x="0"/>
        <item x="3"/>
        <item x="4"/>
        <item x="5"/>
      </items>
    </pivotField>
    <pivotField compact="0" numFmtId="15" outline="0" showAll="0" defaultSubtotal="0"/>
    <pivotField compact="0" numFmtId="15" outline="0" showAll="0" defaultSubtotal="0"/>
    <pivotField compact="0" numFmtId="3" outline="0" showAll="0" defaultSubtotal="0"/>
    <pivotField compact="0" numFmtId="3" outline="0" showAll="0" defaultSubtotal="0"/>
    <pivotField compact="0" numFmtId="3" outline="0" showAll="0" defaultSubtotal="0"/>
    <pivotField compact="0" numFmtId="164" outline="0" showAll="0" defaultSubtotal="0"/>
    <pivotField compact="0" numFmtId="164" outline="0" showAll="0" defaultSubtotal="0"/>
    <pivotField compact="0" numFmtId="164" outline="0" showAll="0" defaultSubtotal="0"/>
    <pivotField compact="0" numFmtId="3" outline="0" showAll="0" defaultSubtotal="0"/>
    <pivotField compact="0" outline="0" subtotalTop="0" showAll="0" defaultSubtotal="0"/>
    <pivotField compact="0" numFmtId="165" outline="0" showAll="0" defaultSubtotal="0"/>
    <pivotField dataField="1" compact="0" numFmtId="166" outline="0" showAll="0" defaultSubtotal="0"/>
    <pivotField axis="axisPage" compact="0" outline="0" multipleItemSelectionAllowed="1" showAll="0" defaultSubtotal="0">
      <items count="4">
        <item x="3"/>
        <item x="2"/>
        <item h="1" x="1"/>
        <item h="1" x="0"/>
      </items>
    </pivotField>
    <pivotField compact="0" outline="0" showAll="0" defaultSubtotal="0"/>
  </pivotFields>
  <rowFields count="1">
    <field x="2"/>
  </rowFields>
  <rowItems count="5">
    <i>
      <x v="2"/>
    </i>
    <i>
      <x v="1"/>
    </i>
    <i>
      <x v="7"/>
    </i>
    <i>
      <x/>
    </i>
    <i>
      <x v="5"/>
    </i>
  </rowItems>
  <colItems count="1">
    <i/>
  </colItems>
  <pageFields count="1">
    <pageField fld="16" hier="-1"/>
  </pageFields>
  <dataFields count="1">
    <dataField name="Risk Valuation" fld="15" baseField="2" baseItem="2" numFmtId="166"/>
  </dataFields>
  <chartFormats count="6">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1"/>
          </reference>
        </references>
      </pivotArea>
    </chartFormat>
    <chartFormat chart="6" format="6">
      <pivotArea type="data" outline="0" fieldPosition="0">
        <references count="2">
          <reference field="4294967294" count="1" selected="0">
            <x v="0"/>
          </reference>
          <reference field="2" count="1" selected="0">
            <x v="7"/>
          </reference>
        </references>
      </pivotArea>
    </chartFormat>
    <chartFormat chart="6" format="7">
      <pivotArea type="data" outline="0" fieldPosition="0">
        <references count="2">
          <reference field="4294967294" count="1" selected="0">
            <x v="0"/>
          </reference>
          <reference field="2" count="1" selected="0">
            <x v="2"/>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5"/>
          </reference>
        </references>
      </pivotArea>
    </chartFormat>
  </chartFormats>
  <pivotTableStyleInfo name="PivotTable Style 1"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C9FC78-4F4C-4762-9B5E-322DB1F22BB2}" name="Pivot 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5:D12" firstHeaderRow="0" firstDataRow="1" firstDataCol="1"/>
  <pivotFields count="18">
    <pivotField compact="0" outline="0" showAll="0" defaultSubtotal="0">
      <items count="3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s>
    </pivotField>
    <pivotField compact="0" outline="0" showAll="0" defaultSubtotal="0"/>
    <pivotField compact="0" outline="0" showAll="0" defaultSubtotal="0"/>
    <pivotField axis="axisRow" compact="0" outline="0" showAll="0" defaultSubtotal="0">
      <items count="6">
        <item x="1"/>
        <item x="2"/>
        <item x="0"/>
        <item x="3"/>
        <item x="4"/>
        <item x="5"/>
      </items>
    </pivotField>
    <pivotField compact="0" outline="0" showAll="0" defaultSubtotal="0"/>
    <pivotField compact="0" outline="0" showAll="0" defaultSubtotal="0"/>
    <pivotField dataField="1" compact="0" numFmtId="3" outline="0" showAll="0" defaultSubtotal="0"/>
    <pivotField dataField="1" compact="0" numFmtId="3" outline="0" showAll="0" defaultSubtotal="0"/>
    <pivotField dataField="1" compact="0" numFmtId="3" outline="0" showAll="0" defaultSubtotal="0"/>
    <pivotField compact="0" outline="0" showAll="0" defaultSubtotal="0"/>
    <pivotField compact="0" numFmtId="164" outline="0" showAll="0" defaultSubtotal="0"/>
    <pivotField compact="0" numFmtId="164" outline="0" showAll="0" defaultSubtotal="0"/>
    <pivotField compact="0" outline="0" showAll="0" defaultSubtotal="0"/>
    <pivotField compact="0" outline="0" subtotalTop="0" showAll="0" defaultSubtotal="0"/>
    <pivotField compact="0" numFmtId="165" outline="0" showAll="0" defaultSubtotal="0"/>
    <pivotField compact="0" numFmtId="166" outline="0" showAll="0" defaultSubtotal="0"/>
    <pivotField compact="0" outline="0" showAll="0" defaultSubtotal="0"/>
    <pivotField compact="0" outline="0" showAll="0" defaultSubtotal="0"/>
  </pivotFields>
  <rowFields count="1">
    <field x="3"/>
  </rowFields>
  <rowItems count="7">
    <i>
      <x/>
    </i>
    <i>
      <x v="1"/>
    </i>
    <i>
      <x v="2"/>
    </i>
    <i>
      <x v="3"/>
    </i>
    <i>
      <x v="4"/>
    </i>
    <i>
      <x v="5"/>
    </i>
    <i t="grand">
      <x/>
    </i>
  </rowItems>
  <colFields count="1">
    <field x="-2"/>
  </colFields>
  <colItems count="3">
    <i>
      <x/>
    </i>
    <i i="1">
      <x v="1"/>
    </i>
    <i i="2">
      <x v="2"/>
    </i>
  </colItems>
  <dataFields count="3">
    <dataField name="Quantity Outbound" fld="7" baseField="3" baseItem="0" numFmtId="3"/>
    <dataField name="Quantity Inbound" fld="6" baseField="3" baseItem="0" numFmtId="3"/>
    <dataField name="Quantity Remaining" fld="8" baseField="3" baseItem="0" numFmtId="3"/>
  </dataFields>
  <chartFormats count="4">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pivotArea type="data" outline="0" fieldPosition="0">
        <references count="2">
          <reference field="4294967294" count="1" selected="0">
            <x v="2"/>
          </reference>
          <reference field="3"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6AA8BF-2723-46D7-845C-32CAE71D34EA}" sourceName="Category">
  <pivotTables>
    <pivotTable tabId="9" name="Pivot 1"/>
    <pivotTable tabId="9" name="Pivot 2"/>
    <pivotTable tabId="9" name="Pivot 3"/>
    <pivotTable tabId="9" name="Pivot 4"/>
    <pivotTable tabId="9" name="Pivot 6"/>
    <pivotTable tabId="9" name="Pivot 7"/>
    <pivotTable tabId="9" name="Last Pivot"/>
  </pivotTables>
  <data>
    <tabular pivotCacheId="448170277">
      <items count="6">
        <i x="1" s="1"/>
        <i x="2" s="1"/>
        <i x="0"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ert_Status" xr10:uid="{C572DE12-A89D-49FA-8F69-5DBD7AF43DA5}" sourceName="Alert_Status">
  <pivotTables>
    <pivotTable tabId="9" name="Pivot 2"/>
    <pivotTable tabId="9" name="Pivot 3"/>
  </pivotTables>
  <data>
    <tabular pivotCacheId="448170277">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930B653-029F-4E49-A1F8-5826CE827D63}" sourceName="Product_Name">
  <pivotTables>
    <pivotTable tabId="9" name="Last Pivot"/>
    <pivotTable tabId="9" name="Pivot 6"/>
    <pivotTable tabId="9" name="Pivot 7"/>
  </pivotTables>
  <data>
    <tabular pivotCacheId="448170277">
      <items count="10">
        <i x="9" s="1"/>
        <i x="7" s="1"/>
        <i x="8" s="1"/>
        <i x="3" s="1"/>
        <i x="6" s="1"/>
        <i x="4" s="1"/>
        <i x="0" s="1"/>
        <i x="5"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on_Recommendation" xr10:uid="{53AA2949-A5E2-48F3-B3C8-02155564B2F3}" sourceName="Action_Recommendation">
  <pivotTables>
    <pivotTable tabId="9" name="Pivot 4"/>
  </pivotTables>
  <data>
    <tabular pivotCacheId="448170277">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ch_ID" xr10:uid="{609DDF6B-7FA9-4B92-B15E-247AC44B6FC3}" sourceName="Batch_ID">
  <pivotTables>
    <pivotTable tabId="9" name="Pivot 1"/>
  </pivotTables>
  <data>
    <tabular pivotCacheId="448170277">
      <items count="32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iry_Alert_30Days1" xr10:uid="{3E56F291-42E0-4177-A865-62BAC125298A}" sourceName="Expiry_Alert_30Days">
  <pivotTables>
    <pivotTable tabId="9" name="Last Pivot"/>
  </pivotTables>
  <data>
    <tabular pivotCacheId="448170277">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0FF1E0B-C2BD-4D91-ABF6-1363EE77758F}" cache="Slicer_Category" caption="Category" style="STYLE 2 " rowHeight="241300"/>
  <slicer name="Alert_Status" xr10:uid="{ED98EEC0-5E53-434D-BFD2-FF1D463700B1}" cache="Slicer_Alert_Status" caption="Alert Status" style="STYLE 2 " rowHeight="241300"/>
  <slicer name="Product_Name" xr10:uid="{BB296B3F-A956-427D-82F1-52FD7D36E430}" cache="Slicer_Product_Name" caption="Product Name" style="STYLE 2 " rowHeight="241300"/>
  <slicer name="Action_Recommendation" xr10:uid="{904DC067-D0E9-406E-BDE9-196352C4EB69}" cache="Slicer_Action_Recommendation" caption="Action Recommendation" style="STYLE 2 " rowHeight="241300"/>
  <slicer name="Batch_ID" xr10:uid="{396732C9-0026-475C-93BB-39B5B43FA687}" cache="Slicer_Batch_ID" caption="Batch ID" startItem="74" style="STYLE 2 " rowHeight="241300"/>
  <slicer name="Expiry_Alert_30Days 1" xr10:uid="{B21C2F4B-FC7C-483E-8EB6-FC918A92E59B}" cache="Slicer_Expiry_Alert_30Days1" caption="Expiry_Alert_30Days" style="STYLE 2 "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7DF26-D7DF-41FD-99A4-1460E62EDDEB}">
  <sheetPr>
    <pageSetUpPr fitToPage="1"/>
  </sheetPr>
  <dimension ref="A1:AQ109"/>
  <sheetViews>
    <sheetView zoomScale="32" zoomScaleNormal="60" workbookViewId="0">
      <selection activeCell="AY40" sqref="AY40"/>
    </sheetView>
  </sheetViews>
  <sheetFormatPr defaultRowHeight="15" x14ac:dyDescent="0.25"/>
  <cols>
    <col min="7" max="7" width="4.85546875" customWidth="1"/>
    <col min="12" max="12" width="11" customWidth="1"/>
    <col min="22" max="22" width="6.85546875" customWidth="1"/>
    <col min="28" max="28" width="6.85546875" customWidth="1"/>
    <col min="31" max="31" width="6.5703125" customWidth="1"/>
  </cols>
  <sheetData>
    <row r="1" spans="1:43" ht="15" customHeight="1" x14ac:dyDescent="0.25">
      <c r="A1" s="64" t="s">
        <v>477</v>
      </c>
      <c r="B1" s="65"/>
      <c r="C1" s="65"/>
      <c r="D1" s="65"/>
      <c r="E1" s="65"/>
      <c r="F1" s="65"/>
      <c r="G1" s="66"/>
      <c r="H1" s="75">
        <f>MASTER_DATA!O326</f>
        <v>4210550000</v>
      </c>
      <c r="I1" s="76"/>
      <c r="J1" s="76"/>
      <c r="K1" s="76"/>
      <c r="L1" s="76"/>
      <c r="M1" s="51"/>
      <c r="N1" s="77">
        <f ca="1">MASTER_DATA!P326</f>
        <v>776450000</v>
      </c>
      <c r="O1" s="77"/>
      <c r="P1" s="77"/>
      <c r="Q1" s="77"/>
      <c r="R1" s="77"/>
      <c r="S1" s="51"/>
      <c r="T1" s="78">
        <f>MASTER_DATA!I326</f>
        <v>77850</v>
      </c>
      <c r="U1" s="79"/>
      <c r="V1" s="79"/>
      <c r="W1" s="79"/>
      <c r="X1" s="79"/>
      <c r="Y1" s="51"/>
      <c r="Z1" s="80">
        <f ca="1">(COUNTIF(MASTER_DATA!Q6:Q325, "EXPIRED") + COUNTIF(MASTER_DATA!Q6:Q325, "CRITICAL"))/(COUNTIF(MASTER_DATA!Q6:Q325, "EXPIRED") + COUNTIF(MASTER_DATA!Q6:Q325, "CRITICAL")+COUNTIF(MASTER_DATA!Q6:Q325, "SAFE")+COUNTIF(MASTER_DATA!Q6:Q325, "WARNING"))*100</f>
        <v>18.75</v>
      </c>
      <c r="AA1" s="80"/>
      <c r="AB1" s="80"/>
      <c r="AC1" s="80"/>
      <c r="AD1" s="80"/>
      <c r="AE1" s="51"/>
      <c r="AF1" s="83">
        <f ca="1">AVERAGE(MASTER_DATA!M6:M325)</f>
        <v>203.15937500000001</v>
      </c>
      <c r="AG1" s="83"/>
      <c r="AH1" s="83"/>
      <c r="AI1" s="83"/>
      <c r="AJ1" s="83"/>
      <c r="AK1" s="51"/>
      <c r="AL1" s="81">
        <f>COUNTIF(Analysis_FEFO!J5:J174, "Compliant") / COUNTA(Analysis_FEFO!J5:J174)</f>
        <v>9.4117647058823528E-2</v>
      </c>
      <c r="AM1" s="81"/>
      <c r="AN1" s="81"/>
      <c r="AO1" s="81"/>
      <c r="AP1" s="82"/>
      <c r="AQ1" s="54"/>
    </row>
    <row r="2" spans="1:43" ht="15" customHeight="1" x14ac:dyDescent="0.25">
      <c r="A2" s="64"/>
      <c r="B2" s="65"/>
      <c r="C2" s="65"/>
      <c r="D2" s="65"/>
      <c r="E2" s="65"/>
      <c r="F2" s="65"/>
      <c r="G2" s="66"/>
      <c r="H2" s="75"/>
      <c r="I2" s="76"/>
      <c r="J2" s="76"/>
      <c r="K2" s="76"/>
      <c r="L2" s="76"/>
      <c r="M2" s="51"/>
      <c r="N2" s="77"/>
      <c r="O2" s="77"/>
      <c r="P2" s="77"/>
      <c r="Q2" s="77"/>
      <c r="R2" s="77"/>
      <c r="S2" s="51"/>
      <c r="T2" s="79"/>
      <c r="U2" s="79"/>
      <c r="V2" s="79"/>
      <c r="W2" s="79"/>
      <c r="X2" s="79"/>
      <c r="Y2" s="51"/>
      <c r="Z2" s="80"/>
      <c r="AA2" s="80"/>
      <c r="AB2" s="80"/>
      <c r="AC2" s="80"/>
      <c r="AD2" s="80"/>
      <c r="AE2" s="51"/>
      <c r="AF2" s="83"/>
      <c r="AG2" s="83"/>
      <c r="AH2" s="83"/>
      <c r="AI2" s="83"/>
      <c r="AJ2" s="83"/>
      <c r="AK2" s="51"/>
      <c r="AL2" s="81"/>
      <c r="AM2" s="81"/>
      <c r="AN2" s="81"/>
      <c r="AO2" s="81"/>
      <c r="AP2" s="82"/>
      <c r="AQ2" s="54"/>
    </row>
    <row r="3" spans="1:43" ht="15" customHeight="1" x14ac:dyDescent="0.25">
      <c r="A3" s="64"/>
      <c r="B3" s="65"/>
      <c r="C3" s="65"/>
      <c r="D3" s="65"/>
      <c r="E3" s="65"/>
      <c r="F3" s="65"/>
      <c r="G3" s="66"/>
      <c r="H3" s="75"/>
      <c r="I3" s="76"/>
      <c r="J3" s="76"/>
      <c r="K3" s="76"/>
      <c r="L3" s="76"/>
      <c r="M3" s="51"/>
      <c r="N3" s="77"/>
      <c r="O3" s="77"/>
      <c r="P3" s="77"/>
      <c r="Q3" s="77"/>
      <c r="R3" s="77"/>
      <c r="S3" s="51"/>
      <c r="T3" s="79"/>
      <c r="U3" s="79"/>
      <c r="V3" s="79"/>
      <c r="W3" s="79"/>
      <c r="X3" s="79"/>
      <c r="Y3" s="51"/>
      <c r="Z3" s="80"/>
      <c r="AA3" s="80"/>
      <c r="AB3" s="80"/>
      <c r="AC3" s="80"/>
      <c r="AD3" s="80"/>
      <c r="AE3" s="51"/>
      <c r="AF3" s="83"/>
      <c r="AG3" s="83"/>
      <c r="AH3" s="83"/>
      <c r="AI3" s="83"/>
      <c r="AJ3" s="83"/>
      <c r="AK3" s="51"/>
      <c r="AL3" s="81"/>
      <c r="AM3" s="81"/>
      <c r="AN3" s="81"/>
      <c r="AO3" s="81"/>
      <c r="AP3" s="82"/>
      <c r="AQ3" s="54"/>
    </row>
    <row r="4" spans="1:43" ht="15" customHeight="1" x14ac:dyDescent="0.25">
      <c r="A4" s="64"/>
      <c r="B4" s="65"/>
      <c r="C4" s="65"/>
      <c r="D4" s="65"/>
      <c r="E4" s="65"/>
      <c r="F4" s="65"/>
      <c r="G4" s="66"/>
      <c r="H4" s="75"/>
      <c r="I4" s="76"/>
      <c r="J4" s="76"/>
      <c r="K4" s="76"/>
      <c r="L4" s="76"/>
      <c r="M4" s="51"/>
      <c r="N4" s="77"/>
      <c r="O4" s="77"/>
      <c r="P4" s="77"/>
      <c r="Q4" s="77"/>
      <c r="R4" s="77"/>
      <c r="S4" s="51"/>
      <c r="T4" s="79"/>
      <c r="U4" s="79"/>
      <c r="V4" s="79"/>
      <c r="W4" s="79"/>
      <c r="X4" s="79"/>
      <c r="Y4" s="51"/>
      <c r="Z4" s="80"/>
      <c r="AA4" s="80"/>
      <c r="AB4" s="80"/>
      <c r="AC4" s="80"/>
      <c r="AD4" s="80"/>
      <c r="AE4" s="51"/>
      <c r="AF4" s="83"/>
      <c r="AG4" s="83"/>
      <c r="AH4" s="83"/>
      <c r="AI4" s="83"/>
      <c r="AJ4" s="83"/>
      <c r="AK4" s="51"/>
      <c r="AL4" s="81"/>
      <c r="AM4" s="81"/>
      <c r="AN4" s="81"/>
      <c r="AO4" s="81"/>
      <c r="AP4" s="82"/>
      <c r="AQ4" s="54"/>
    </row>
    <row r="5" spans="1:43" ht="15" customHeight="1" x14ac:dyDescent="0.25">
      <c r="A5" s="64"/>
      <c r="B5" s="65"/>
      <c r="C5" s="65"/>
      <c r="D5" s="65"/>
      <c r="E5" s="65"/>
      <c r="F5" s="65"/>
      <c r="G5" s="66"/>
      <c r="H5" s="75"/>
      <c r="I5" s="76"/>
      <c r="J5" s="76"/>
      <c r="K5" s="76"/>
      <c r="L5" s="76"/>
      <c r="M5" s="51"/>
      <c r="N5" s="77"/>
      <c r="O5" s="77"/>
      <c r="P5" s="77"/>
      <c r="Q5" s="77"/>
      <c r="R5" s="77"/>
      <c r="S5" s="51"/>
      <c r="T5" s="79"/>
      <c r="U5" s="79"/>
      <c r="V5" s="79"/>
      <c r="W5" s="79"/>
      <c r="X5" s="79"/>
      <c r="Y5" s="51"/>
      <c r="Z5" s="80"/>
      <c r="AA5" s="80"/>
      <c r="AB5" s="80"/>
      <c r="AC5" s="80"/>
      <c r="AD5" s="80"/>
      <c r="AE5" s="51"/>
      <c r="AF5" s="83"/>
      <c r="AG5" s="83"/>
      <c r="AH5" s="83"/>
      <c r="AI5" s="83"/>
      <c r="AJ5" s="83"/>
      <c r="AK5" s="51"/>
      <c r="AL5" s="81"/>
      <c r="AM5" s="81"/>
      <c r="AN5" s="81"/>
      <c r="AO5" s="81"/>
      <c r="AP5" s="82"/>
      <c r="AQ5" s="54"/>
    </row>
    <row r="6" spans="1:43" ht="15" customHeight="1" x14ac:dyDescent="0.25">
      <c r="A6" s="64"/>
      <c r="B6" s="65"/>
      <c r="C6" s="65"/>
      <c r="D6" s="65"/>
      <c r="E6" s="65"/>
      <c r="F6" s="65"/>
      <c r="G6" s="66"/>
      <c r="H6" s="75"/>
      <c r="I6" s="76"/>
      <c r="J6" s="76"/>
      <c r="K6" s="76"/>
      <c r="L6" s="76"/>
      <c r="M6" s="51"/>
      <c r="N6" s="77"/>
      <c r="O6" s="77"/>
      <c r="P6" s="77"/>
      <c r="Q6" s="77"/>
      <c r="R6" s="77"/>
      <c r="S6" s="51"/>
      <c r="T6" s="79"/>
      <c r="U6" s="79"/>
      <c r="V6" s="79"/>
      <c r="W6" s="79"/>
      <c r="X6" s="79"/>
      <c r="Y6" s="51"/>
      <c r="Z6" s="80"/>
      <c r="AA6" s="80"/>
      <c r="AB6" s="80"/>
      <c r="AC6" s="80"/>
      <c r="AD6" s="80"/>
      <c r="AE6" s="51"/>
      <c r="AF6" s="83"/>
      <c r="AG6" s="83"/>
      <c r="AH6" s="83"/>
      <c r="AI6" s="83"/>
      <c r="AJ6" s="83"/>
      <c r="AK6" s="51"/>
      <c r="AL6" s="81"/>
      <c r="AM6" s="81"/>
      <c r="AN6" s="81"/>
      <c r="AO6" s="81"/>
      <c r="AP6" s="82"/>
      <c r="AQ6" s="54"/>
    </row>
    <row r="7" spans="1:43" ht="15" customHeight="1" x14ac:dyDescent="0.25">
      <c r="A7" s="64"/>
      <c r="B7" s="65"/>
      <c r="C7" s="65"/>
      <c r="D7" s="65"/>
      <c r="E7" s="65"/>
      <c r="F7" s="65"/>
      <c r="G7" s="66"/>
      <c r="H7" s="75"/>
      <c r="I7" s="76"/>
      <c r="J7" s="76"/>
      <c r="K7" s="76"/>
      <c r="L7" s="76"/>
      <c r="M7" s="51"/>
      <c r="N7" s="77"/>
      <c r="O7" s="77"/>
      <c r="P7" s="77"/>
      <c r="Q7" s="77"/>
      <c r="R7" s="77"/>
      <c r="S7" s="51"/>
      <c r="T7" s="79"/>
      <c r="U7" s="79"/>
      <c r="V7" s="79"/>
      <c r="W7" s="79"/>
      <c r="X7" s="79"/>
      <c r="Y7" s="51"/>
      <c r="Z7" s="80"/>
      <c r="AA7" s="80"/>
      <c r="AB7" s="80"/>
      <c r="AC7" s="80"/>
      <c r="AD7" s="80"/>
      <c r="AE7" s="51"/>
      <c r="AF7" s="83"/>
      <c r="AG7" s="83"/>
      <c r="AH7" s="83"/>
      <c r="AI7" s="83"/>
      <c r="AJ7" s="83"/>
      <c r="AK7" s="51"/>
      <c r="AL7" s="81"/>
      <c r="AM7" s="81"/>
      <c r="AN7" s="81"/>
      <c r="AO7" s="81"/>
      <c r="AP7" s="82"/>
      <c r="AQ7" s="54"/>
    </row>
    <row r="8" spans="1:43" ht="15" customHeight="1" x14ac:dyDescent="0.25">
      <c r="A8" s="64"/>
      <c r="B8" s="65"/>
      <c r="C8" s="65"/>
      <c r="D8" s="65"/>
      <c r="E8" s="65"/>
      <c r="F8" s="65"/>
      <c r="G8" s="66"/>
      <c r="H8" s="70" t="s">
        <v>479</v>
      </c>
      <c r="I8" s="71"/>
      <c r="J8" s="71"/>
      <c r="K8" s="71"/>
      <c r="L8" s="71"/>
      <c r="M8" s="51"/>
      <c r="N8" s="70" t="s">
        <v>480</v>
      </c>
      <c r="O8" s="71"/>
      <c r="P8" s="71"/>
      <c r="Q8" s="71"/>
      <c r="R8" s="71"/>
      <c r="S8" s="51"/>
      <c r="T8" s="70" t="s">
        <v>481</v>
      </c>
      <c r="U8" s="71"/>
      <c r="V8" s="71"/>
      <c r="W8" s="71"/>
      <c r="X8" s="71"/>
      <c r="Y8" s="51"/>
      <c r="Z8" s="70" t="s">
        <v>482</v>
      </c>
      <c r="AA8" s="71"/>
      <c r="AB8" s="71"/>
      <c r="AC8" s="71"/>
      <c r="AD8" s="71"/>
      <c r="AE8" s="51"/>
      <c r="AF8" s="70" t="s">
        <v>485</v>
      </c>
      <c r="AG8" s="71"/>
      <c r="AH8" s="71"/>
      <c r="AI8" s="71"/>
      <c r="AJ8" s="71"/>
      <c r="AK8" s="51"/>
      <c r="AL8" s="73" t="s">
        <v>483</v>
      </c>
      <c r="AM8" s="71"/>
      <c r="AN8" s="71"/>
      <c r="AO8" s="71"/>
      <c r="AP8" s="74"/>
      <c r="AQ8" s="54"/>
    </row>
    <row r="9" spans="1:43" ht="15" customHeight="1" x14ac:dyDescent="0.25">
      <c r="A9" s="67" t="s">
        <v>478</v>
      </c>
      <c r="B9" s="68"/>
      <c r="C9" s="68"/>
      <c r="D9" s="68"/>
      <c r="E9" s="68"/>
      <c r="F9" s="68"/>
      <c r="G9" s="69"/>
      <c r="H9" s="72"/>
      <c r="I9" s="71"/>
      <c r="J9" s="71"/>
      <c r="K9" s="71"/>
      <c r="L9" s="71"/>
      <c r="M9" s="51"/>
      <c r="N9" s="72"/>
      <c r="O9" s="71"/>
      <c r="P9" s="71"/>
      <c r="Q9" s="71"/>
      <c r="R9" s="71"/>
      <c r="S9" s="51"/>
      <c r="T9" s="72"/>
      <c r="U9" s="71"/>
      <c r="V9" s="71"/>
      <c r="W9" s="71"/>
      <c r="X9" s="71"/>
      <c r="Y9" s="51"/>
      <c r="Z9" s="72"/>
      <c r="AA9" s="71"/>
      <c r="AB9" s="71"/>
      <c r="AC9" s="71"/>
      <c r="AD9" s="71"/>
      <c r="AE9" s="51"/>
      <c r="AF9" s="72"/>
      <c r="AG9" s="71"/>
      <c r="AH9" s="71"/>
      <c r="AI9" s="71"/>
      <c r="AJ9" s="71"/>
      <c r="AK9" s="51"/>
      <c r="AL9" s="71"/>
      <c r="AM9" s="71"/>
      <c r="AN9" s="71"/>
      <c r="AO9" s="71"/>
      <c r="AP9" s="74"/>
      <c r="AQ9" s="54"/>
    </row>
    <row r="10" spans="1:43" ht="15" customHeight="1" x14ac:dyDescent="0.25">
      <c r="A10" s="67"/>
      <c r="B10" s="68"/>
      <c r="C10" s="68"/>
      <c r="D10" s="68"/>
      <c r="E10" s="68"/>
      <c r="F10" s="68"/>
      <c r="G10" s="69"/>
      <c r="H10" s="72"/>
      <c r="I10" s="71"/>
      <c r="J10" s="71"/>
      <c r="K10" s="71"/>
      <c r="L10" s="71"/>
      <c r="M10" s="51"/>
      <c r="N10" s="72"/>
      <c r="O10" s="71"/>
      <c r="P10" s="71"/>
      <c r="Q10" s="71"/>
      <c r="R10" s="71"/>
      <c r="S10" s="51"/>
      <c r="T10" s="72"/>
      <c r="U10" s="71"/>
      <c r="V10" s="71"/>
      <c r="W10" s="71"/>
      <c r="X10" s="71"/>
      <c r="Y10" s="51"/>
      <c r="Z10" s="72"/>
      <c r="AA10" s="71"/>
      <c r="AB10" s="71"/>
      <c r="AC10" s="71"/>
      <c r="AD10" s="71"/>
      <c r="AE10" s="51"/>
      <c r="AF10" s="72"/>
      <c r="AG10" s="71"/>
      <c r="AH10" s="71"/>
      <c r="AI10" s="71"/>
      <c r="AJ10" s="71"/>
      <c r="AK10" s="51"/>
      <c r="AL10" s="71"/>
      <c r="AM10" s="71"/>
      <c r="AN10" s="71"/>
      <c r="AO10" s="71"/>
      <c r="AP10" s="74"/>
      <c r="AQ10" s="54"/>
    </row>
    <row r="11" spans="1:43" ht="15" customHeight="1" x14ac:dyDescent="0.25">
      <c r="A11" s="67"/>
      <c r="B11" s="68"/>
      <c r="C11" s="68"/>
      <c r="D11" s="68"/>
      <c r="E11" s="68"/>
      <c r="F11" s="68"/>
      <c r="G11" s="69"/>
      <c r="H11" s="72"/>
      <c r="I11" s="71"/>
      <c r="J11" s="71"/>
      <c r="K11" s="71"/>
      <c r="L11" s="71"/>
      <c r="M11" s="51"/>
      <c r="N11" s="72"/>
      <c r="O11" s="71"/>
      <c r="P11" s="71"/>
      <c r="Q11" s="71"/>
      <c r="R11" s="71"/>
      <c r="S11" s="51"/>
      <c r="T11" s="72"/>
      <c r="U11" s="71"/>
      <c r="V11" s="71"/>
      <c r="W11" s="71"/>
      <c r="X11" s="71"/>
      <c r="Y11" s="51"/>
      <c r="Z11" s="72"/>
      <c r="AA11" s="71"/>
      <c r="AB11" s="71"/>
      <c r="AC11" s="71"/>
      <c r="AD11" s="71"/>
      <c r="AE11" s="51"/>
      <c r="AF11" s="72"/>
      <c r="AG11" s="71"/>
      <c r="AH11" s="71"/>
      <c r="AI11" s="71"/>
      <c r="AJ11" s="71"/>
      <c r="AK11" s="51"/>
      <c r="AL11" s="71"/>
      <c r="AM11" s="71"/>
      <c r="AN11" s="71"/>
      <c r="AO11" s="71"/>
      <c r="AP11" s="74"/>
      <c r="AQ11" s="54"/>
    </row>
    <row r="12" spans="1:43" ht="15" customHeight="1" x14ac:dyDescent="0.25">
      <c r="A12" s="67"/>
      <c r="B12" s="68"/>
      <c r="C12" s="68"/>
      <c r="D12" s="68"/>
      <c r="E12" s="68"/>
      <c r="F12" s="68"/>
      <c r="G12" s="69"/>
      <c r="H12" s="72"/>
      <c r="I12" s="71"/>
      <c r="J12" s="71"/>
      <c r="K12" s="71"/>
      <c r="L12" s="71"/>
      <c r="M12" s="51"/>
      <c r="N12" s="72"/>
      <c r="O12" s="71"/>
      <c r="P12" s="71"/>
      <c r="Q12" s="71"/>
      <c r="R12" s="71"/>
      <c r="S12" s="51"/>
      <c r="T12" s="72"/>
      <c r="U12" s="71"/>
      <c r="V12" s="71"/>
      <c r="W12" s="71"/>
      <c r="X12" s="71"/>
      <c r="Y12" s="51"/>
      <c r="Z12" s="72"/>
      <c r="AA12" s="71"/>
      <c r="AB12" s="71"/>
      <c r="AC12" s="71"/>
      <c r="AD12" s="71"/>
      <c r="AE12" s="51"/>
      <c r="AF12" s="72"/>
      <c r="AG12" s="71"/>
      <c r="AH12" s="71"/>
      <c r="AI12" s="71"/>
      <c r="AJ12" s="71"/>
      <c r="AK12" s="51"/>
      <c r="AL12" s="71"/>
      <c r="AM12" s="71"/>
      <c r="AN12" s="71"/>
      <c r="AO12" s="71"/>
      <c r="AP12" s="74"/>
      <c r="AQ12" s="54"/>
    </row>
    <row r="13" spans="1:43" ht="24" customHeight="1" x14ac:dyDescent="0.25">
      <c r="A13" s="56"/>
      <c r="B13" s="50"/>
      <c r="C13" s="50"/>
      <c r="D13" s="50"/>
      <c r="E13" s="50"/>
      <c r="F13" s="50"/>
      <c r="G13" s="53"/>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7"/>
      <c r="AQ13" s="54"/>
    </row>
    <row r="14" spans="1:43" x14ac:dyDescent="0.25">
      <c r="A14" s="56"/>
      <c r="B14" s="50"/>
      <c r="C14" s="50"/>
      <c r="D14" s="50"/>
      <c r="E14" s="50"/>
      <c r="F14" s="50"/>
      <c r="G14" s="53"/>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7"/>
      <c r="AQ14" s="50"/>
    </row>
    <row r="15" spans="1:43" x14ac:dyDescent="0.25">
      <c r="A15" s="56"/>
      <c r="B15" s="50"/>
      <c r="C15" s="50"/>
      <c r="D15" s="50"/>
      <c r="E15" s="50"/>
      <c r="F15" s="50"/>
      <c r="G15" s="53"/>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7"/>
      <c r="AQ15" s="50"/>
    </row>
    <row r="16" spans="1:43" x14ac:dyDescent="0.25">
      <c r="A16" s="56"/>
      <c r="B16" s="50"/>
      <c r="C16" s="50"/>
      <c r="D16" s="50"/>
      <c r="E16" s="50"/>
      <c r="F16" s="50"/>
      <c r="G16" s="53"/>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7"/>
      <c r="AQ16" s="50"/>
    </row>
    <row r="17" spans="1:43" x14ac:dyDescent="0.25">
      <c r="A17" s="56"/>
      <c r="B17" s="50"/>
      <c r="C17" s="50"/>
      <c r="D17" s="50"/>
      <c r="E17" s="50"/>
      <c r="F17" s="50"/>
      <c r="G17" s="53"/>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7"/>
      <c r="AQ17" s="50"/>
    </row>
    <row r="18" spans="1:43" x14ac:dyDescent="0.25">
      <c r="A18" s="56"/>
      <c r="B18" s="50"/>
      <c r="C18" s="50"/>
      <c r="D18" s="50"/>
      <c r="E18" s="50"/>
      <c r="F18" s="50"/>
      <c r="G18" s="53"/>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7"/>
      <c r="AQ18" s="50"/>
    </row>
    <row r="19" spans="1:43" x14ac:dyDescent="0.25">
      <c r="A19" s="56"/>
      <c r="B19" s="50"/>
      <c r="C19" s="50"/>
      <c r="D19" s="50"/>
      <c r="E19" s="50"/>
      <c r="F19" s="50"/>
      <c r="G19" s="53"/>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7"/>
      <c r="AQ19" s="50"/>
    </row>
    <row r="20" spans="1:43" x14ac:dyDescent="0.25">
      <c r="A20" s="56"/>
      <c r="B20" s="50"/>
      <c r="C20" s="50"/>
      <c r="D20" s="50"/>
      <c r="E20" s="50"/>
      <c r="F20" s="50"/>
      <c r="G20" s="53"/>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7"/>
      <c r="AQ20" s="50"/>
    </row>
    <row r="21" spans="1:43" x14ac:dyDescent="0.25">
      <c r="A21" s="56"/>
      <c r="B21" s="50"/>
      <c r="C21" s="50"/>
      <c r="D21" s="50"/>
      <c r="E21" s="50"/>
      <c r="F21" s="50"/>
      <c r="G21" s="53"/>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2"/>
      <c r="AI21" s="50"/>
      <c r="AJ21" s="50"/>
      <c r="AK21" s="50"/>
      <c r="AL21" s="50"/>
      <c r="AM21" s="50"/>
      <c r="AN21" s="50"/>
      <c r="AO21" s="50"/>
      <c r="AP21" s="57"/>
      <c r="AQ21" s="50"/>
    </row>
    <row r="22" spans="1:43" x14ac:dyDescent="0.25">
      <c r="A22" s="56"/>
      <c r="B22" s="50"/>
      <c r="C22" s="50"/>
      <c r="D22" s="50"/>
      <c r="E22" s="50"/>
      <c r="F22" s="50"/>
      <c r="G22" s="53"/>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7"/>
      <c r="AQ22" s="50"/>
    </row>
    <row r="23" spans="1:43" x14ac:dyDescent="0.25">
      <c r="A23" s="56"/>
      <c r="B23" s="50"/>
      <c r="C23" s="50"/>
      <c r="D23" s="50"/>
      <c r="E23" s="50"/>
      <c r="F23" s="50"/>
      <c r="G23" s="53"/>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7"/>
      <c r="AQ23" s="50"/>
    </row>
    <row r="24" spans="1:43" x14ac:dyDescent="0.25">
      <c r="A24" s="56"/>
      <c r="B24" s="50"/>
      <c r="C24" s="50"/>
      <c r="D24" s="50"/>
      <c r="E24" s="50"/>
      <c r="F24" s="50"/>
      <c r="G24" s="53"/>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7"/>
      <c r="AQ24" s="50"/>
    </row>
    <row r="25" spans="1:43" x14ac:dyDescent="0.25">
      <c r="A25" s="56"/>
      <c r="B25" s="50"/>
      <c r="C25" s="50"/>
      <c r="D25" s="50"/>
      <c r="E25" s="50"/>
      <c r="F25" s="50"/>
      <c r="G25" s="53"/>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7"/>
      <c r="AQ25" s="50"/>
    </row>
    <row r="26" spans="1:43" x14ac:dyDescent="0.25">
      <c r="A26" s="56"/>
      <c r="B26" s="50"/>
      <c r="C26" s="50"/>
      <c r="D26" s="50"/>
      <c r="E26" s="50"/>
      <c r="F26" s="50"/>
      <c r="G26" s="53"/>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7"/>
      <c r="AQ26" s="50"/>
    </row>
    <row r="27" spans="1:43" x14ac:dyDescent="0.25">
      <c r="A27" s="56"/>
      <c r="B27" s="50"/>
      <c r="C27" s="50"/>
      <c r="D27" s="50"/>
      <c r="E27" s="50"/>
      <c r="F27" s="50"/>
      <c r="G27" s="53"/>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7"/>
      <c r="AQ27" s="50"/>
    </row>
    <row r="28" spans="1:43" x14ac:dyDescent="0.25">
      <c r="A28" s="56"/>
      <c r="B28" s="50"/>
      <c r="C28" s="50"/>
      <c r="D28" s="50"/>
      <c r="E28" s="50"/>
      <c r="F28" s="50"/>
      <c r="G28" s="53"/>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7"/>
      <c r="AQ28" s="50"/>
    </row>
    <row r="29" spans="1:43" x14ac:dyDescent="0.25">
      <c r="A29" s="56"/>
      <c r="B29" s="50"/>
      <c r="C29" s="50"/>
      <c r="D29" s="50"/>
      <c r="E29" s="50"/>
      <c r="F29" s="50"/>
      <c r="G29" s="53"/>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7"/>
      <c r="AQ29" s="50"/>
    </row>
    <row r="30" spans="1:43" x14ac:dyDescent="0.25">
      <c r="A30" s="56"/>
      <c r="B30" s="50"/>
      <c r="C30" s="50"/>
      <c r="D30" s="50"/>
      <c r="E30" s="50"/>
      <c r="F30" s="50"/>
      <c r="G30" s="53"/>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7"/>
      <c r="AQ30" s="50"/>
    </row>
    <row r="31" spans="1:43" x14ac:dyDescent="0.25">
      <c r="A31" s="56"/>
      <c r="B31" s="50"/>
      <c r="C31" s="50"/>
      <c r="D31" s="50"/>
      <c r="E31" s="50"/>
      <c r="F31" s="50"/>
      <c r="G31" s="53"/>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7"/>
      <c r="AQ31" s="50"/>
    </row>
    <row r="32" spans="1:43" x14ac:dyDescent="0.25">
      <c r="A32" s="56"/>
      <c r="B32" s="50"/>
      <c r="C32" s="50"/>
      <c r="D32" s="50"/>
      <c r="E32" s="50"/>
      <c r="F32" s="50"/>
      <c r="G32" s="53"/>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7"/>
      <c r="AQ32" s="50"/>
    </row>
    <row r="33" spans="1:43" x14ac:dyDescent="0.25">
      <c r="A33" s="56"/>
      <c r="B33" s="50"/>
      <c r="C33" s="50"/>
      <c r="D33" s="50"/>
      <c r="E33" s="50"/>
      <c r="F33" s="50"/>
      <c r="G33" s="53"/>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7"/>
      <c r="AQ33" s="50"/>
    </row>
    <row r="34" spans="1:43" x14ac:dyDescent="0.25">
      <c r="A34" s="56"/>
      <c r="B34" s="50"/>
      <c r="C34" s="50"/>
      <c r="D34" s="50"/>
      <c r="E34" s="50"/>
      <c r="F34" s="50"/>
      <c r="G34" s="53"/>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7"/>
      <c r="AQ34" s="50"/>
    </row>
    <row r="35" spans="1:43" x14ac:dyDescent="0.25">
      <c r="A35" s="56"/>
      <c r="B35" s="50"/>
      <c r="C35" s="50"/>
      <c r="D35" s="50"/>
      <c r="E35" s="50"/>
      <c r="F35" s="50"/>
      <c r="G35" s="53"/>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7"/>
      <c r="AQ35" s="50"/>
    </row>
    <row r="36" spans="1:43" x14ac:dyDescent="0.25">
      <c r="A36" s="56"/>
      <c r="B36" s="50"/>
      <c r="C36" s="50"/>
      <c r="D36" s="50"/>
      <c r="E36" s="50"/>
      <c r="F36" s="50"/>
      <c r="G36" s="53"/>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7"/>
      <c r="AQ36" s="50"/>
    </row>
    <row r="37" spans="1:43" x14ac:dyDescent="0.25">
      <c r="A37" s="56"/>
      <c r="B37" s="50"/>
      <c r="C37" s="50"/>
      <c r="D37" s="50"/>
      <c r="E37" s="50"/>
      <c r="F37" s="50"/>
      <c r="G37" s="53"/>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7"/>
      <c r="AQ37" s="50"/>
    </row>
    <row r="38" spans="1:43" x14ac:dyDescent="0.25">
      <c r="A38" s="56"/>
      <c r="B38" s="50"/>
      <c r="C38" s="50"/>
      <c r="D38" s="50"/>
      <c r="E38" s="50"/>
      <c r="F38" s="50"/>
      <c r="G38" s="53"/>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7"/>
      <c r="AQ38" s="50"/>
    </row>
    <row r="39" spans="1:43" x14ac:dyDescent="0.25">
      <c r="A39" s="56"/>
      <c r="B39" s="50"/>
      <c r="C39" s="50"/>
      <c r="D39" s="50"/>
      <c r="E39" s="50"/>
      <c r="F39" s="50"/>
      <c r="G39" s="53"/>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7"/>
      <c r="AQ39" s="50"/>
    </row>
    <row r="40" spans="1:43" x14ac:dyDescent="0.25">
      <c r="A40" s="56"/>
      <c r="B40" s="50"/>
      <c r="C40" s="50"/>
      <c r="D40" s="50"/>
      <c r="E40" s="50"/>
      <c r="F40" s="50"/>
      <c r="G40" s="53"/>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7"/>
      <c r="AQ40" s="50"/>
    </row>
    <row r="41" spans="1:43" x14ac:dyDescent="0.25">
      <c r="A41" s="56"/>
      <c r="B41" s="50"/>
      <c r="C41" s="50"/>
      <c r="D41" s="50"/>
      <c r="E41" s="50"/>
      <c r="F41" s="50"/>
      <c r="G41" s="53"/>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7"/>
      <c r="AQ41" s="50"/>
    </row>
    <row r="42" spans="1:43" x14ac:dyDescent="0.25">
      <c r="A42" s="56"/>
      <c r="B42" s="50"/>
      <c r="C42" s="50"/>
      <c r="D42" s="50"/>
      <c r="E42" s="50"/>
      <c r="F42" s="50"/>
      <c r="G42" s="53"/>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7"/>
      <c r="AQ42" s="50"/>
    </row>
    <row r="43" spans="1:43" x14ac:dyDescent="0.25">
      <c r="A43" s="56"/>
      <c r="B43" s="50"/>
      <c r="C43" s="50"/>
      <c r="D43" s="50"/>
      <c r="E43" s="50"/>
      <c r="F43" s="50"/>
      <c r="G43" s="53"/>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7"/>
      <c r="AQ43" s="50"/>
    </row>
    <row r="44" spans="1:43" x14ac:dyDescent="0.25">
      <c r="A44" s="56"/>
      <c r="B44" s="50"/>
      <c r="C44" s="50"/>
      <c r="D44" s="50"/>
      <c r="E44" s="50"/>
      <c r="F44" s="50"/>
      <c r="G44" s="53"/>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7"/>
      <c r="AQ44" s="50"/>
    </row>
    <row r="45" spans="1:43" x14ac:dyDescent="0.25">
      <c r="A45" s="56"/>
      <c r="B45" s="50"/>
      <c r="C45" s="50"/>
      <c r="D45" s="50"/>
      <c r="E45" s="50"/>
      <c r="F45" s="50"/>
      <c r="G45" s="53"/>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7"/>
      <c r="AQ45" s="50"/>
    </row>
    <row r="46" spans="1:43" x14ac:dyDescent="0.25">
      <c r="A46" s="56"/>
      <c r="B46" s="50"/>
      <c r="C46" s="50"/>
      <c r="D46" s="50"/>
      <c r="E46" s="50"/>
      <c r="F46" s="50"/>
      <c r="G46" s="53"/>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7"/>
      <c r="AQ46" s="50"/>
    </row>
    <row r="47" spans="1:43" x14ac:dyDescent="0.25">
      <c r="A47" s="56"/>
      <c r="B47" s="50"/>
      <c r="C47" s="50"/>
      <c r="D47" s="50"/>
      <c r="E47" s="50"/>
      <c r="F47" s="50"/>
      <c r="G47" s="53"/>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7"/>
      <c r="AQ47" s="50"/>
    </row>
    <row r="48" spans="1:43" x14ac:dyDescent="0.25">
      <c r="A48" s="56"/>
      <c r="B48" s="50"/>
      <c r="C48" s="50"/>
      <c r="D48" s="50"/>
      <c r="E48" s="50"/>
      <c r="F48" s="50"/>
      <c r="G48" s="53"/>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7"/>
      <c r="AQ48" s="50"/>
    </row>
    <row r="49" spans="1:43" x14ac:dyDescent="0.25">
      <c r="A49" s="56"/>
      <c r="B49" s="50"/>
      <c r="C49" s="50"/>
      <c r="D49" s="50"/>
      <c r="E49" s="50"/>
      <c r="F49" s="50"/>
      <c r="G49" s="53"/>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7"/>
      <c r="AQ49" s="50"/>
    </row>
    <row r="50" spans="1:43" x14ac:dyDescent="0.25">
      <c r="A50" s="56"/>
      <c r="B50" s="50"/>
      <c r="C50" s="50"/>
      <c r="D50" s="50"/>
      <c r="E50" s="50"/>
      <c r="F50" s="50"/>
      <c r="G50" s="53"/>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7"/>
      <c r="AQ50" s="50"/>
    </row>
    <row r="51" spans="1:43" x14ac:dyDescent="0.25">
      <c r="A51" s="56"/>
      <c r="B51" s="50"/>
      <c r="C51" s="50"/>
      <c r="D51" s="50"/>
      <c r="E51" s="50"/>
      <c r="F51" s="50"/>
      <c r="G51" s="53"/>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7"/>
      <c r="AQ51" s="50"/>
    </row>
    <row r="52" spans="1:43" x14ac:dyDescent="0.25">
      <c r="A52" s="56"/>
      <c r="B52" s="50"/>
      <c r="C52" s="50"/>
      <c r="D52" s="50"/>
      <c r="E52" s="50"/>
      <c r="F52" s="50"/>
      <c r="G52" s="53"/>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7"/>
      <c r="AQ52" s="50"/>
    </row>
    <row r="53" spans="1:43" x14ac:dyDescent="0.25">
      <c r="A53" s="56"/>
      <c r="B53" s="50"/>
      <c r="C53" s="50"/>
      <c r="D53" s="50"/>
      <c r="E53" s="50"/>
      <c r="F53" s="50"/>
      <c r="G53" s="53"/>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7"/>
      <c r="AQ53" s="50"/>
    </row>
    <row r="54" spans="1:43" x14ac:dyDescent="0.25">
      <c r="A54" s="56"/>
      <c r="B54" s="50"/>
      <c r="C54" s="50"/>
      <c r="D54" s="50"/>
      <c r="E54" s="50"/>
      <c r="F54" s="50"/>
      <c r="G54" s="53"/>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7"/>
      <c r="AQ54" s="50"/>
    </row>
    <row r="55" spans="1:43" x14ac:dyDescent="0.25">
      <c r="A55" s="56"/>
      <c r="B55" s="50"/>
      <c r="C55" s="50"/>
      <c r="D55" s="50"/>
      <c r="E55" s="50"/>
      <c r="F55" s="50"/>
      <c r="G55" s="53"/>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7"/>
      <c r="AQ55" s="50"/>
    </row>
    <row r="56" spans="1:43" x14ac:dyDescent="0.25">
      <c r="A56" s="56"/>
      <c r="B56" s="50"/>
      <c r="C56" s="50"/>
      <c r="D56" s="50"/>
      <c r="E56" s="50"/>
      <c r="F56" s="50"/>
      <c r="G56" s="53"/>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7"/>
      <c r="AQ56" s="50"/>
    </row>
    <row r="57" spans="1:43" x14ac:dyDescent="0.25">
      <c r="A57" s="56"/>
      <c r="B57" s="50"/>
      <c r="C57" s="50"/>
      <c r="D57" s="50"/>
      <c r="E57" s="50"/>
      <c r="F57" s="50"/>
      <c r="G57" s="53"/>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7"/>
      <c r="AQ57" s="50"/>
    </row>
    <row r="58" spans="1:43" x14ac:dyDescent="0.25">
      <c r="A58" s="56"/>
      <c r="B58" s="50"/>
      <c r="C58" s="50"/>
      <c r="D58" s="50"/>
      <c r="E58" s="50"/>
      <c r="F58" s="50"/>
      <c r="G58" s="53"/>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7"/>
      <c r="AQ58" s="50"/>
    </row>
    <row r="59" spans="1:43" x14ac:dyDescent="0.25">
      <c r="A59" s="56"/>
      <c r="B59" s="50"/>
      <c r="C59" s="50"/>
      <c r="D59" s="50"/>
      <c r="E59" s="50"/>
      <c r="F59" s="50"/>
      <c r="G59" s="53"/>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7"/>
      <c r="AQ59" s="50"/>
    </row>
    <row r="60" spans="1:43" x14ac:dyDescent="0.25">
      <c r="A60" s="56"/>
      <c r="B60" s="50"/>
      <c r="C60" s="50"/>
      <c r="D60" s="50"/>
      <c r="E60" s="50"/>
      <c r="F60" s="50"/>
      <c r="G60" s="53"/>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7"/>
      <c r="AQ60" s="50"/>
    </row>
    <row r="61" spans="1:43" x14ac:dyDescent="0.25">
      <c r="A61" s="56"/>
      <c r="B61" s="50"/>
      <c r="C61" s="50"/>
      <c r="D61" s="50"/>
      <c r="E61" s="50"/>
      <c r="F61" s="50"/>
      <c r="G61" s="53"/>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7"/>
      <c r="AQ61" s="50"/>
    </row>
    <row r="62" spans="1:43" x14ac:dyDescent="0.25">
      <c r="A62" s="56"/>
      <c r="B62" s="50"/>
      <c r="C62" s="50"/>
      <c r="D62" s="50"/>
      <c r="E62" s="50"/>
      <c r="F62" s="50"/>
      <c r="G62" s="53"/>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7"/>
      <c r="AQ62" s="50"/>
    </row>
    <row r="63" spans="1:43" x14ac:dyDescent="0.25">
      <c r="A63" s="56"/>
      <c r="B63" s="50"/>
      <c r="C63" s="50"/>
      <c r="D63" s="50"/>
      <c r="E63" s="50"/>
      <c r="F63" s="50"/>
      <c r="G63" s="53"/>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7"/>
      <c r="AQ63" s="50"/>
    </row>
    <row r="64" spans="1:43" x14ac:dyDescent="0.25">
      <c r="A64" s="56"/>
      <c r="B64" s="50"/>
      <c r="C64" s="50"/>
      <c r="D64" s="50"/>
      <c r="E64" s="50"/>
      <c r="F64" s="50"/>
      <c r="G64" s="53"/>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7"/>
      <c r="AQ64" s="50"/>
    </row>
    <row r="65" spans="1:43" x14ac:dyDescent="0.25">
      <c r="A65" s="56"/>
      <c r="B65" s="50"/>
      <c r="C65" s="50"/>
      <c r="D65" s="50"/>
      <c r="E65" s="50"/>
      <c r="F65" s="50"/>
      <c r="G65" s="53"/>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7"/>
      <c r="AQ65" s="50"/>
    </row>
    <row r="66" spans="1:43" x14ac:dyDescent="0.25">
      <c r="A66" s="56"/>
      <c r="B66" s="50"/>
      <c r="C66" s="50"/>
      <c r="D66" s="50"/>
      <c r="E66" s="50"/>
      <c r="F66" s="50"/>
      <c r="G66" s="53"/>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7"/>
      <c r="AQ66" s="50"/>
    </row>
    <row r="67" spans="1:43" x14ac:dyDescent="0.25">
      <c r="A67" s="56"/>
      <c r="B67" s="50"/>
      <c r="C67" s="50"/>
      <c r="D67" s="50"/>
      <c r="E67" s="50"/>
      <c r="F67" s="50"/>
      <c r="G67" s="53"/>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7"/>
      <c r="AQ67" s="50"/>
    </row>
    <row r="68" spans="1:43" x14ac:dyDescent="0.25">
      <c r="A68" s="56"/>
      <c r="B68" s="50"/>
      <c r="C68" s="50"/>
      <c r="D68" s="50"/>
      <c r="E68" s="50"/>
      <c r="F68" s="50"/>
      <c r="G68" s="53"/>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7"/>
      <c r="AQ68" s="50"/>
    </row>
    <row r="69" spans="1:43" x14ac:dyDescent="0.25">
      <c r="A69" s="56"/>
      <c r="B69" s="50"/>
      <c r="C69" s="50"/>
      <c r="D69" s="50"/>
      <c r="E69" s="50"/>
      <c r="F69" s="50"/>
      <c r="G69" s="53"/>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7"/>
      <c r="AQ69" s="50"/>
    </row>
    <row r="70" spans="1:43" x14ac:dyDescent="0.25">
      <c r="A70" s="56"/>
      <c r="B70" s="50"/>
      <c r="C70" s="50"/>
      <c r="D70" s="50"/>
      <c r="E70" s="50"/>
      <c r="F70" s="50"/>
      <c r="G70" s="53"/>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7"/>
      <c r="AQ70" s="50"/>
    </row>
    <row r="71" spans="1:43" x14ac:dyDescent="0.25">
      <c r="A71" s="56"/>
      <c r="B71" s="50"/>
      <c r="C71" s="50"/>
      <c r="D71" s="50"/>
      <c r="E71" s="50"/>
      <c r="F71" s="50"/>
      <c r="G71" s="53"/>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7"/>
      <c r="AQ71" s="50"/>
    </row>
    <row r="72" spans="1:43" x14ac:dyDescent="0.25">
      <c r="A72" s="56"/>
      <c r="B72" s="50"/>
      <c r="C72" s="50"/>
      <c r="D72" s="50"/>
      <c r="E72" s="50"/>
      <c r="F72" s="50"/>
      <c r="G72" s="53"/>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7"/>
      <c r="AQ72" s="50"/>
    </row>
    <row r="73" spans="1:43" x14ac:dyDescent="0.25">
      <c r="A73" s="56"/>
      <c r="B73" s="50"/>
      <c r="C73" s="50"/>
      <c r="D73" s="50"/>
      <c r="E73" s="50"/>
      <c r="F73" s="50"/>
      <c r="G73" s="53"/>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7"/>
      <c r="AQ73" s="50"/>
    </row>
    <row r="74" spans="1:43" x14ac:dyDescent="0.25">
      <c r="A74" s="56"/>
      <c r="B74" s="50"/>
      <c r="C74" s="50"/>
      <c r="D74" s="50"/>
      <c r="E74" s="50"/>
      <c r="F74" s="50"/>
      <c r="G74" s="53"/>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7"/>
      <c r="AQ74" s="50"/>
    </row>
    <row r="75" spans="1:43" x14ac:dyDescent="0.25">
      <c r="A75" s="56"/>
      <c r="B75" s="50"/>
      <c r="C75" s="50"/>
      <c r="D75" s="50"/>
      <c r="E75" s="50"/>
      <c r="F75" s="50"/>
      <c r="G75" s="53"/>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7"/>
      <c r="AQ75" s="50"/>
    </row>
    <row r="76" spans="1:43" x14ac:dyDescent="0.25">
      <c r="A76" s="56"/>
      <c r="B76" s="50"/>
      <c r="C76" s="50"/>
      <c r="D76" s="50"/>
      <c r="E76" s="50"/>
      <c r="F76" s="50"/>
      <c r="G76" s="53"/>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7"/>
      <c r="AQ76" s="50"/>
    </row>
    <row r="77" spans="1:43" x14ac:dyDescent="0.25">
      <c r="A77" s="56"/>
      <c r="B77" s="50"/>
      <c r="C77" s="50"/>
      <c r="D77" s="50"/>
      <c r="E77" s="50"/>
      <c r="F77" s="50"/>
      <c r="G77" s="53"/>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7"/>
      <c r="AQ77" s="50"/>
    </row>
    <row r="78" spans="1:43" x14ac:dyDescent="0.25">
      <c r="A78" s="56"/>
      <c r="B78" s="50"/>
      <c r="C78" s="50"/>
      <c r="D78" s="50"/>
      <c r="E78" s="50"/>
      <c r="F78" s="50"/>
      <c r="G78" s="53"/>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7"/>
      <c r="AQ78" s="50"/>
    </row>
    <row r="79" spans="1:43" x14ac:dyDescent="0.25">
      <c r="A79" s="56"/>
      <c r="B79" s="50"/>
      <c r="C79" s="50"/>
      <c r="D79" s="50"/>
      <c r="E79" s="50"/>
      <c r="F79" s="50"/>
      <c r="G79" s="53"/>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7"/>
      <c r="AQ79" s="50"/>
    </row>
    <row r="80" spans="1:43" x14ac:dyDescent="0.25">
      <c r="A80" s="56"/>
      <c r="B80" s="50"/>
      <c r="C80" s="50"/>
      <c r="D80" s="50"/>
      <c r="E80" s="50"/>
      <c r="F80" s="50"/>
      <c r="G80" s="53"/>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7"/>
      <c r="AQ80" s="50"/>
    </row>
    <row r="81" spans="1:43" x14ac:dyDescent="0.25">
      <c r="A81" s="56"/>
      <c r="B81" s="50"/>
      <c r="C81" s="50"/>
      <c r="D81" s="50"/>
      <c r="E81" s="50"/>
      <c r="F81" s="50"/>
      <c r="G81" s="53"/>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7"/>
      <c r="AQ81" s="50"/>
    </row>
    <row r="82" spans="1:43" x14ac:dyDescent="0.25">
      <c r="A82" s="56"/>
      <c r="B82" s="50"/>
      <c r="C82" s="50"/>
      <c r="D82" s="50"/>
      <c r="E82" s="50"/>
      <c r="F82" s="50"/>
      <c r="G82" s="53"/>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7"/>
      <c r="AQ82" s="50"/>
    </row>
    <row r="83" spans="1:43" x14ac:dyDescent="0.25">
      <c r="A83" s="56"/>
      <c r="B83" s="50"/>
      <c r="C83" s="50"/>
      <c r="D83" s="50"/>
      <c r="E83" s="50"/>
      <c r="F83" s="50"/>
      <c r="G83" s="53"/>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7"/>
      <c r="AQ83" s="50"/>
    </row>
    <row r="84" spans="1:43" x14ac:dyDescent="0.25">
      <c r="A84" s="56"/>
      <c r="B84" s="50"/>
      <c r="C84" s="50"/>
      <c r="D84" s="50"/>
      <c r="E84" s="50"/>
      <c r="F84" s="50"/>
      <c r="G84" s="53"/>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7"/>
      <c r="AQ84" s="50"/>
    </row>
    <row r="85" spans="1:43" x14ac:dyDescent="0.25">
      <c r="A85" s="56"/>
      <c r="B85" s="50"/>
      <c r="C85" s="50"/>
      <c r="D85" s="50"/>
      <c r="E85" s="50"/>
      <c r="F85" s="50"/>
      <c r="G85" s="53"/>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7"/>
      <c r="AQ85" s="50"/>
    </row>
    <row r="86" spans="1:43" x14ac:dyDescent="0.25">
      <c r="A86" s="56"/>
      <c r="B86" s="50"/>
      <c r="C86" s="50"/>
      <c r="D86" s="50"/>
      <c r="E86" s="50"/>
      <c r="F86" s="50"/>
      <c r="G86" s="53"/>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7"/>
      <c r="AQ86" s="50"/>
    </row>
    <row r="87" spans="1:43" x14ac:dyDescent="0.25">
      <c r="A87" s="56"/>
      <c r="B87" s="50"/>
      <c r="C87" s="50"/>
      <c r="D87" s="50"/>
      <c r="E87" s="50"/>
      <c r="F87" s="50"/>
      <c r="G87" s="53"/>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7"/>
      <c r="AQ87" s="50"/>
    </row>
    <row r="88" spans="1:43" x14ac:dyDescent="0.25">
      <c r="A88" s="56"/>
      <c r="B88" s="50"/>
      <c r="C88" s="50"/>
      <c r="D88" s="50"/>
      <c r="E88" s="50"/>
      <c r="F88" s="50"/>
      <c r="G88" s="53"/>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7"/>
      <c r="AQ88" s="50"/>
    </row>
    <row r="89" spans="1:43" x14ac:dyDescent="0.25">
      <c r="A89" s="56"/>
      <c r="B89" s="50"/>
      <c r="C89" s="50"/>
      <c r="D89" s="50"/>
      <c r="E89" s="50"/>
      <c r="F89" s="50"/>
      <c r="G89" s="53"/>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7"/>
      <c r="AQ89" s="50"/>
    </row>
    <row r="90" spans="1:43" x14ac:dyDescent="0.25">
      <c r="A90" s="56"/>
      <c r="B90" s="50"/>
      <c r="C90" s="50"/>
      <c r="D90" s="50"/>
      <c r="E90" s="50"/>
      <c r="F90" s="50"/>
      <c r="G90" s="53"/>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7"/>
      <c r="AQ90" s="50"/>
    </row>
    <row r="91" spans="1:43" x14ac:dyDescent="0.25">
      <c r="A91" s="56"/>
      <c r="B91" s="50"/>
      <c r="C91" s="50"/>
      <c r="D91" s="50"/>
      <c r="E91" s="50"/>
      <c r="F91" s="50"/>
      <c r="G91" s="53"/>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7"/>
      <c r="AQ91" s="50"/>
    </row>
    <row r="92" spans="1:43" x14ac:dyDescent="0.25">
      <c r="A92" s="56"/>
      <c r="B92" s="50"/>
      <c r="C92" s="50"/>
      <c r="D92" s="50"/>
      <c r="E92" s="50"/>
      <c r="F92" s="50"/>
      <c r="G92" s="53"/>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7"/>
      <c r="AQ92" s="50"/>
    </row>
    <row r="93" spans="1:43" x14ac:dyDescent="0.25">
      <c r="A93" s="56"/>
      <c r="B93" s="50"/>
      <c r="C93" s="50"/>
      <c r="D93" s="50"/>
      <c r="E93" s="50"/>
      <c r="F93" s="50"/>
      <c r="G93" s="53"/>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7"/>
      <c r="AQ93" s="50"/>
    </row>
    <row r="94" spans="1:43" x14ac:dyDescent="0.25">
      <c r="A94" s="56"/>
      <c r="B94" s="50"/>
      <c r="C94" s="50"/>
      <c r="D94" s="50"/>
      <c r="E94" s="50"/>
      <c r="F94" s="50"/>
      <c r="G94" s="53"/>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7"/>
      <c r="AQ94" s="50"/>
    </row>
    <row r="95" spans="1:43" x14ac:dyDescent="0.25">
      <c r="A95" s="56"/>
      <c r="B95" s="50"/>
      <c r="C95" s="50"/>
      <c r="D95" s="50"/>
      <c r="E95" s="50"/>
      <c r="F95" s="50"/>
      <c r="G95" s="53"/>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7"/>
      <c r="AQ95" s="50"/>
    </row>
    <row r="96" spans="1:43" x14ac:dyDescent="0.25">
      <c r="A96" s="56"/>
      <c r="B96" s="50"/>
      <c r="C96" s="50"/>
      <c r="D96" s="50"/>
      <c r="E96" s="50"/>
      <c r="F96" s="50"/>
      <c r="G96" s="53"/>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7"/>
      <c r="AQ96" s="50"/>
    </row>
    <row r="97" spans="1:43" x14ac:dyDescent="0.25">
      <c r="A97" s="56"/>
      <c r="B97" s="50"/>
      <c r="C97" s="50"/>
      <c r="D97" s="50"/>
      <c r="E97" s="50"/>
      <c r="F97" s="50"/>
      <c r="G97" s="53"/>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7"/>
      <c r="AQ97" s="50"/>
    </row>
    <row r="98" spans="1:43" x14ac:dyDescent="0.25">
      <c r="A98" s="56"/>
      <c r="B98" s="50"/>
      <c r="C98" s="50"/>
      <c r="D98" s="50"/>
      <c r="E98" s="50"/>
      <c r="F98" s="50"/>
      <c r="G98" s="53"/>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7"/>
      <c r="AQ98" s="50"/>
    </row>
    <row r="99" spans="1:43" x14ac:dyDescent="0.25">
      <c r="A99" s="56"/>
      <c r="B99" s="50"/>
      <c r="C99" s="50"/>
      <c r="D99" s="50"/>
      <c r="E99" s="50"/>
      <c r="F99" s="50"/>
      <c r="G99" s="53"/>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7"/>
      <c r="AQ99" s="50"/>
    </row>
    <row r="100" spans="1:43" ht="24" thickBot="1" x14ac:dyDescent="0.3">
      <c r="A100" s="61" t="s">
        <v>476</v>
      </c>
      <c r="B100" s="62"/>
      <c r="C100" s="62"/>
      <c r="D100" s="62"/>
      <c r="E100" s="62"/>
      <c r="F100" s="62"/>
      <c r="G100" s="63"/>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8"/>
      <c r="AQ100" s="50"/>
    </row>
    <row r="101" spans="1:43" ht="15.75" thickTop="1" x14ac:dyDescent="0.25">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9"/>
      <c r="AQ101" s="50"/>
    </row>
    <row r="102" spans="1:43" x14ac:dyDescent="0.25">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row>
    <row r="103" spans="1:43" x14ac:dyDescent="0.25">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row>
    <row r="104" spans="1:43" x14ac:dyDescent="0.25">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row>
    <row r="105" spans="1:43" x14ac:dyDescent="0.2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row>
    <row r="106" spans="1:43" x14ac:dyDescent="0.25">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row>
    <row r="107" spans="1:43" x14ac:dyDescent="0.25">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row>
    <row r="108" spans="1:43" x14ac:dyDescent="0.25">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row>
    <row r="109" spans="1:43" x14ac:dyDescent="0.25">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row>
  </sheetData>
  <mergeCells count="15">
    <mergeCell ref="AF8:AJ12"/>
    <mergeCell ref="AL8:AP12"/>
    <mergeCell ref="H1:L7"/>
    <mergeCell ref="N1:R7"/>
    <mergeCell ref="T1:X7"/>
    <mergeCell ref="Z1:AD7"/>
    <mergeCell ref="AL1:AP7"/>
    <mergeCell ref="AF1:AJ7"/>
    <mergeCell ref="H8:L12"/>
    <mergeCell ref="N8:R12"/>
    <mergeCell ref="A100:G100"/>
    <mergeCell ref="A1:G8"/>
    <mergeCell ref="A9:G12"/>
    <mergeCell ref="T8:X12"/>
    <mergeCell ref="Z8:AD12"/>
  </mergeCells>
  <pageMargins left="0.25" right="0.25" top="0.75" bottom="0.75" header="0.3" footer="0.3"/>
  <pageSetup scale="31" fitToWidth="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83FF-29C3-4185-9E19-54C298DEB331}">
  <dimension ref="A1:S327"/>
  <sheetViews>
    <sheetView zoomScale="95" zoomScaleNormal="10" workbookViewId="0">
      <selection activeCell="A2" sqref="A2"/>
    </sheetView>
  </sheetViews>
  <sheetFormatPr defaultRowHeight="15" x14ac:dyDescent="0.25"/>
  <cols>
    <col min="1" max="1" width="67" customWidth="1"/>
    <col min="2" max="2" width="12" customWidth="1"/>
    <col min="3" max="3" width="37" customWidth="1"/>
    <col min="4" max="4" width="14" style="22" customWidth="1"/>
    <col min="5" max="5" width="13" style="16" customWidth="1"/>
    <col min="6" max="6" width="14" style="16" customWidth="1"/>
    <col min="7" max="9" width="16" customWidth="1"/>
    <col min="10" max="10" width="18" customWidth="1"/>
    <col min="11" max="11" width="19.5703125" customWidth="1"/>
    <col min="12" max="12" width="21.5703125" customWidth="1"/>
    <col min="13" max="13" width="24" style="46" customWidth="1"/>
    <col min="14" max="14" width="24" customWidth="1"/>
    <col min="15" max="15" width="24" style="27" customWidth="1"/>
    <col min="16" max="16" width="24" style="36" customWidth="1"/>
    <col min="17" max="17" width="27" customWidth="1"/>
    <col min="18" max="18" width="32.140625" style="30" customWidth="1"/>
    <col min="19" max="19" width="18" customWidth="1"/>
  </cols>
  <sheetData>
    <row r="1" spans="1:19" ht="21" x14ac:dyDescent="0.35">
      <c r="A1" s="1" t="s">
        <v>0</v>
      </c>
    </row>
    <row r="2" spans="1:19" x14ac:dyDescent="0.25">
      <c r="A2" s="2"/>
    </row>
    <row r="3" spans="1:19" x14ac:dyDescent="0.25">
      <c r="A3" s="85" t="s">
        <v>487</v>
      </c>
      <c r="B3" s="85"/>
      <c r="C3" s="85"/>
    </row>
    <row r="5" spans="1:19" x14ac:dyDescent="0.25">
      <c r="A5" s="3" t="s">
        <v>2</v>
      </c>
      <c r="B5" s="25" t="s">
        <v>437</v>
      </c>
      <c r="C5" s="25" t="s">
        <v>434</v>
      </c>
      <c r="D5" s="25" t="s">
        <v>435</v>
      </c>
      <c r="E5" s="26" t="s">
        <v>438</v>
      </c>
      <c r="F5" s="26" t="s">
        <v>439</v>
      </c>
      <c r="G5" s="25" t="s">
        <v>442</v>
      </c>
      <c r="H5" s="25" t="s">
        <v>444</v>
      </c>
      <c r="I5" s="25" t="s">
        <v>445</v>
      </c>
      <c r="J5" s="25" t="s">
        <v>443</v>
      </c>
      <c r="K5" s="25" t="s">
        <v>449</v>
      </c>
      <c r="L5" s="25" t="s">
        <v>448</v>
      </c>
      <c r="M5" s="47" t="s">
        <v>441</v>
      </c>
      <c r="N5" s="45" t="s">
        <v>473</v>
      </c>
      <c r="O5" s="28" t="s">
        <v>450</v>
      </c>
      <c r="P5" s="37" t="s">
        <v>446</v>
      </c>
      <c r="Q5" s="3" t="s">
        <v>440</v>
      </c>
      <c r="R5" s="25" t="s">
        <v>447</v>
      </c>
      <c r="S5" s="60"/>
    </row>
    <row r="6" spans="1:19" x14ac:dyDescent="0.25">
      <c r="A6" s="4" t="s">
        <v>3</v>
      </c>
      <c r="B6" s="4" t="s">
        <v>4</v>
      </c>
      <c r="C6" s="5" t="s">
        <v>5</v>
      </c>
      <c r="D6" s="23" t="s">
        <v>6</v>
      </c>
      <c r="E6" s="18">
        <v>46079</v>
      </c>
      <c r="F6" s="18">
        <v>46452</v>
      </c>
      <c r="G6" s="6">
        <v>300</v>
      </c>
      <c r="H6" s="6">
        <f>SUMIF(Analysis_FEFO!$E$5:$E$174, A6, Analysis_FEFO!$G$5:$G$174)</f>
        <v>0</v>
      </c>
      <c r="I6" s="6">
        <f>G6-H6</f>
        <v>300</v>
      </c>
      <c r="J6" s="7">
        <v>84000</v>
      </c>
      <c r="K6" s="7">
        <f t="shared" ref="K6:K69" si="0">G6*J6</f>
        <v>25200000</v>
      </c>
      <c r="L6" s="7">
        <f>H6*J6</f>
        <v>0</v>
      </c>
      <c r="M6" s="48">
        <f t="shared" ref="M6:M69" ca="1" si="1">F6-TODAY()</f>
        <v>130</v>
      </c>
      <c r="N6" s="6" t="str">
        <f ca="1">IF(M6&lt;=0, "EXPIRED", IF(M6&lt;=30, "EXPIRING SOON (&lt;30 DAYS)", "SAFE"))</f>
        <v>SAFE</v>
      </c>
      <c r="O6" s="29">
        <f>I6*J6</f>
        <v>25200000</v>
      </c>
      <c r="P6" s="38">
        <f ca="1">IF(OR(Q6="CRITICAL", Q6="EXPIRED"), O6, 0)</f>
        <v>0</v>
      </c>
      <c r="Q6" s="4" t="str">
        <f t="shared" ref="Q6:Q69" ca="1" si="2">IF(M6&lt;0, "EXPIRED", IF(M6&lt;=60, "CRITICAL", IF(M6&lt;=180, "WARNING", "SAFE")))</f>
        <v>WARNING</v>
      </c>
      <c r="R6" s="30" t="str" cm="1">
        <f t="array" aca="1" ref="R6" ca="1">_xlfn.IFS(Q6="EXPIRED", "WRITE-OFF", Q6="WARNING", "FlASH SALE ", Q6="CRITICAL", "FEFO PRIORITY", Q6="SAFE", "REGULAR SALES")</f>
        <v xml:space="preserve">FlASH SALE </v>
      </c>
    </row>
    <row r="7" spans="1:19" x14ac:dyDescent="0.25">
      <c r="A7" s="8" t="s">
        <v>7</v>
      </c>
      <c r="B7" s="8" t="s">
        <v>8</v>
      </c>
      <c r="C7" s="9" t="s">
        <v>9</v>
      </c>
      <c r="D7" s="24" t="s">
        <v>10</v>
      </c>
      <c r="E7" s="19">
        <v>46023</v>
      </c>
      <c r="F7" s="19">
        <v>46546</v>
      </c>
      <c r="G7" s="10">
        <v>250</v>
      </c>
      <c r="H7" s="6">
        <f>SUMIF(Analysis_FEFO!$E$5:$E$174, A7, Analysis_FEFO!$G$5:$G$174)</f>
        <v>0</v>
      </c>
      <c r="I7" s="6">
        <f t="shared" ref="I7:I70" si="3">G7-H7</f>
        <v>250</v>
      </c>
      <c r="J7" s="11">
        <v>34000</v>
      </c>
      <c r="K7" s="11">
        <f t="shared" si="0"/>
        <v>8500000</v>
      </c>
      <c r="L7" s="7">
        <f t="shared" ref="L7:L70" si="4">H7*J7</f>
        <v>0</v>
      </c>
      <c r="M7" s="48">
        <f t="shared" ca="1" si="1"/>
        <v>224</v>
      </c>
      <c r="N7" s="6" t="str">
        <f t="shared" ref="N7:N70" ca="1" si="5">IF(M7&lt;=0, "EXPIRED", IF(M7&lt;=30, "EXPIRING SOON (&lt;30 DAYS)", "SAFE"))</f>
        <v>SAFE</v>
      </c>
      <c r="O7" s="29">
        <f t="shared" ref="O7:O69" si="6">I7*J7</f>
        <v>8500000</v>
      </c>
      <c r="P7" s="38">
        <f t="shared" ref="P7:P70" ca="1" si="7">IF(OR(Q7="CRITICAL", Q7="EXPIRED"), O7, 0)</f>
        <v>0</v>
      </c>
      <c r="Q7" s="8" t="str">
        <f t="shared" ca="1" si="2"/>
        <v>SAFE</v>
      </c>
      <c r="R7" s="30" t="str" cm="1">
        <f t="array" aca="1" ref="R7" ca="1">_xlfn.IFS(Q7="EXPIRED", "WRITE-OFF", Q7="WARNING", "FlASH SALE ", Q7="CRITICAL", "FEFO PRIORITY", Q7="SAFE", "REGULAR SALES")</f>
        <v>REGULAR SALES</v>
      </c>
    </row>
    <row r="8" spans="1:19" x14ac:dyDescent="0.25">
      <c r="A8" s="4" t="s">
        <v>11</v>
      </c>
      <c r="B8" s="4" t="s">
        <v>12</v>
      </c>
      <c r="C8" s="5" t="s">
        <v>13</v>
      </c>
      <c r="D8" s="23" t="s">
        <v>14</v>
      </c>
      <c r="E8" s="18">
        <v>46066</v>
      </c>
      <c r="F8" s="18">
        <v>46440</v>
      </c>
      <c r="G8" s="6">
        <v>200</v>
      </c>
      <c r="H8" s="6">
        <f>SUMIF(Analysis_FEFO!$E$5:$E$174, A8, Analysis_FEFO!$G$5:$G$174)</f>
        <v>0</v>
      </c>
      <c r="I8" s="6">
        <f t="shared" si="3"/>
        <v>200</v>
      </c>
      <c r="J8" s="7">
        <v>35000</v>
      </c>
      <c r="K8" s="7">
        <f t="shared" si="0"/>
        <v>7000000</v>
      </c>
      <c r="L8" s="7">
        <f t="shared" si="4"/>
        <v>0</v>
      </c>
      <c r="M8" s="48">
        <f t="shared" ca="1" si="1"/>
        <v>118</v>
      </c>
      <c r="N8" s="6" t="str">
        <f t="shared" ca="1" si="5"/>
        <v>SAFE</v>
      </c>
      <c r="O8" s="29">
        <f t="shared" si="6"/>
        <v>7000000</v>
      </c>
      <c r="P8" s="38">
        <f t="shared" ca="1" si="7"/>
        <v>0</v>
      </c>
      <c r="Q8" s="4" t="str">
        <f t="shared" ca="1" si="2"/>
        <v>WARNING</v>
      </c>
      <c r="R8" s="30" t="str" cm="1">
        <f t="array" aca="1" ref="R8" ca="1">_xlfn.IFS(Q8="EXPIRED", "WRITE-OFF", Q8="WARNING", "FlASH SALE ", Q8="CRITICAL", "FEFO PRIORITY", Q8="SAFE", "REGULAR SALES")</f>
        <v xml:space="preserve">FlASH SALE </v>
      </c>
    </row>
    <row r="9" spans="1:19" x14ac:dyDescent="0.25">
      <c r="A9" s="8" t="s">
        <v>15</v>
      </c>
      <c r="B9" s="8" t="s">
        <v>16</v>
      </c>
      <c r="C9" s="9" t="s">
        <v>17</v>
      </c>
      <c r="D9" s="24" t="s">
        <v>6</v>
      </c>
      <c r="E9" s="19">
        <v>45969</v>
      </c>
      <c r="F9" s="19">
        <v>46245</v>
      </c>
      <c r="G9" s="10">
        <v>100</v>
      </c>
      <c r="H9" s="6">
        <f>SUMIF(Analysis_FEFO!$E$5:$E$174, A9, Analysis_FEFO!$G$5:$G$174)</f>
        <v>0</v>
      </c>
      <c r="I9" s="6">
        <f t="shared" si="3"/>
        <v>100</v>
      </c>
      <c r="J9" s="11">
        <v>68000</v>
      </c>
      <c r="K9" s="11">
        <f t="shared" si="0"/>
        <v>6800000</v>
      </c>
      <c r="L9" s="7">
        <f t="shared" si="4"/>
        <v>0</v>
      </c>
      <c r="M9" s="48">
        <f t="shared" ca="1" si="1"/>
        <v>-77</v>
      </c>
      <c r="N9" s="6" t="str">
        <f t="shared" ca="1" si="5"/>
        <v>EXPIRED</v>
      </c>
      <c r="O9" s="29">
        <f t="shared" si="6"/>
        <v>6800000</v>
      </c>
      <c r="P9" s="38">
        <f t="shared" ca="1" si="7"/>
        <v>6800000</v>
      </c>
      <c r="Q9" s="8" t="str">
        <f t="shared" ca="1" si="2"/>
        <v>EXPIRED</v>
      </c>
      <c r="R9" s="30" t="str" cm="1">
        <f t="array" aca="1" ref="R9" ca="1">_xlfn.IFS(Q9="EXPIRED", "WRITE-OFF", Q9="WARNING", "FlASH SALE ", Q9="CRITICAL", "FEFO PRIORITY", Q9="SAFE", "REGULAR SALES")</f>
        <v>WRITE-OFF</v>
      </c>
    </row>
    <row r="10" spans="1:19" x14ac:dyDescent="0.25">
      <c r="A10" s="4" t="s">
        <v>18</v>
      </c>
      <c r="B10" s="4" t="s">
        <v>19</v>
      </c>
      <c r="C10" s="5" t="s">
        <v>20</v>
      </c>
      <c r="D10" s="23" t="s">
        <v>21</v>
      </c>
      <c r="E10" s="18">
        <v>45867</v>
      </c>
      <c r="F10" s="18">
        <v>46514</v>
      </c>
      <c r="G10" s="6">
        <v>1000</v>
      </c>
      <c r="H10" s="6">
        <f>SUMIF(Analysis_FEFO!$E$5:$E$174, A10, Analysis_FEFO!$G$5:$G$174)</f>
        <v>0</v>
      </c>
      <c r="I10" s="6">
        <f t="shared" si="3"/>
        <v>1000</v>
      </c>
      <c r="J10" s="7">
        <v>51000</v>
      </c>
      <c r="K10" s="7">
        <f t="shared" si="0"/>
        <v>51000000</v>
      </c>
      <c r="L10" s="7">
        <f t="shared" si="4"/>
        <v>0</v>
      </c>
      <c r="M10" s="48">
        <f t="shared" ca="1" si="1"/>
        <v>192</v>
      </c>
      <c r="N10" s="6" t="str">
        <f t="shared" ca="1" si="5"/>
        <v>SAFE</v>
      </c>
      <c r="O10" s="29">
        <f t="shared" si="6"/>
        <v>51000000</v>
      </c>
      <c r="P10" s="38">
        <f t="shared" ca="1" si="7"/>
        <v>0</v>
      </c>
      <c r="Q10" s="4" t="str">
        <f t="shared" ca="1" si="2"/>
        <v>SAFE</v>
      </c>
      <c r="R10" s="30" t="str" cm="1">
        <f t="array" aca="1" ref="R10" ca="1">_xlfn.IFS(Q10="EXPIRED", "WRITE-OFF", Q10="WARNING", "FlASH SALE ", Q10="CRITICAL", "FEFO PRIORITY", Q10="SAFE", "REGULAR SALES")</f>
        <v>REGULAR SALES</v>
      </c>
    </row>
    <row r="11" spans="1:19" x14ac:dyDescent="0.25">
      <c r="A11" s="8" t="s">
        <v>22</v>
      </c>
      <c r="B11" s="8" t="s">
        <v>8</v>
      </c>
      <c r="C11" s="9" t="s">
        <v>9</v>
      </c>
      <c r="D11" s="24" t="s">
        <v>10</v>
      </c>
      <c r="E11" s="19">
        <v>45863</v>
      </c>
      <c r="F11" s="19">
        <v>46592</v>
      </c>
      <c r="G11" s="10">
        <v>100</v>
      </c>
      <c r="H11" s="6">
        <f>SUMIF(Analysis_FEFO!$E$5:$E$174, A11, Analysis_FEFO!$G$5:$G$174)</f>
        <v>0</v>
      </c>
      <c r="I11" s="6">
        <f t="shared" si="3"/>
        <v>100</v>
      </c>
      <c r="J11" s="11">
        <v>34000</v>
      </c>
      <c r="K11" s="11">
        <f t="shared" si="0"/>
        <v>3400000</v>
      </c>
      <c r="L11" s="7">
        <f t="shared" si="4"/>
        <v>0</v>
      </c>
      <c r="M11" s="48">
        <f t="shared" ca="1" si="1"/>
        <v>270</v>
      </c>
      <c r="N11" s="6" t="str">
        <f t="shared" ca="1" si="5"/>
        <v>SAFE</v>
      </c>
      <c r="O11" s="29">
        <f t="shared" si="6"/>
        <v>3400000</v>
      </c>
      <c r="P11" s="38">
        <f t="shared" ca="1" si="7"/>
        <v>0</v>
      </c>
      <c r="Q11" s="8" t="str">
        <f t="shared" ca="1" si="2"/>
        <v>SAFE</v>
      </c>
      <c r="R11" s="30" t="str" cm="1">
        <f t="array" aca="1" ref="R11" ca="1">_xlfn.IFS(Q11="EXPIRED", "WRITE-OFF", Q11="WARNING", "FlASH SALE ", Q11="CRITICAL", "FEFO PRIORITY", Q11="SAFE", "REGULAR SALES")</f>
        <v>REGULAR SALES</v>
      </c>
    </row>
    <row r="12" spans="1:19" x14ac:dyDescent="0.25">
      <c r="A12" s="4" t="s">
        <v>23</v>
      </c>
      <c r="B12" s="4" t="s">
        <v>4</v>
      </c>
      <c r="C12" s="5" t="s">
        <v>5</v>
      </c>
      <c r="D12" s="23" t="s">
        <v>6</v>
      </c>
      <c r="E12" s="18">
        <v>45829</v>
      </c>
      <c r="F12" s="18">
        <v>46466</v>
      </c>
      <c r="G12" s="6">
        <v>750</v>
      </c>
      <c r="H12" s="6">
        <f>SUMIF(Analysis_FEFO!$E$5:$E$174, A12, Analysis_FEFO!$G$5:$G$174)</f>
        <v>750</v>
      </c>
      <c r="I12" s="6">
        <f t="shared" si="3"/>
        <v>0</v>
      </c>
      <c r="J12" s="7">
        <v>86000</v>
      </c>
      <c r="K12" s="7">
        <f t="shared" si="0"/>
        <v>64500000</v>
      </c>
      <c r="L12" s="7">
        <f t="shared" si="4"/>
        <v>64500000</v>
      </c>
      <c r="M12" s="48">
        <f t="shared" ca="1" si="1"/>
        <v>144</v>
      </c>
      <c r="N12" s="6" t="str">
        <f t="shared" ca="1" si="5"/>
        <v>SAFE</v>
      </c>
      <c r="O12" s="29">
        <f t="shared" si="6"/>
        <v>0</v>
      </c>
      <c r="P12" s="38">
        <f t="shared" ca="1" si="7"/>
        <v>0</v>
      </c>
      <c r="Q12" s="4" t="str">
        <f t="shared" ca="1" si="2"/>
        <v>WARNING</v>
      </c>
      <c r="R12" s="30" t="str" cm="1">
        <f t="array" aca="1" ref="R12" ca="1">_xlfn.IFS(Q12="EXPIRED", "WRITE-OFF", Q12="WARNING", "FlASH SALE ", Q12="CRITICAL", "FEFO PRIORITY", Q12="SAFE", "REGULAR SALES")</f>
        <v xml:space="preserve">FlASH SALE </v>
      </c>
    </row>
    <row r="13" spans="1:19" x14ac:dyDescent="0.25">
      <c r="A13" s="8" t="s">
        <v>24</v>
      </c>
      <c r="B13" s="8" t="s">
        <v>25</v>
      </c>
      <c r="C13" s="9" t="s">
        <v>26</v>
      </c>
      <c r="D13" s="24" t="s">
        <v>27</v>
      </c>
      <c r="E13" s="19">
        <v>46073</v>
      </c>
      <c r="F13" s="19">
        <v>46514</v>
      </c>
      <c r="G13" s="10">
        <v>300</v>
      </c>
      <c r="H13" s="6">
        <f>SUMIF(Analysis_FEFO!$E$5:$E$174, A13, Analysis_FEFO!$G$5:$G$174)</f>
        <v>300</v>
      </c>
      <c r="I13" s="6">
        <f t="shared" si="3"/>
        <v>0</v>
      </c>
      <c r="J13" s="11">
        <v>61000</v>
      </c>
      <c r="K13" s="11">
        <f t="shared" si="0"/>
        <v>18300000</v>
      </c>
      <c r="L13" s="7">
        <f t="shared" si="4"/>
        <v>18300000</v>
      </c>
      <c r="M13" s="48">
        <f t="shared" ca="1" si="1"/>
        <v>192</v>
      </c>
      <c r="N13" s="6" t="str">
        <f t="shared" ca="1" si="5"/>
        <v>SAFE</v>
      </c>
      <c r="O13" s="29">
        <f t="shared" si="6"/>
        <v>0</v>
      </c>
      <c r="P13" s="38">
        <f t="shared" ca="1" si="7"/>
        <v>0</v>
      </c>
      <c r="Q13" s="8" t="str">
        <f t="shared" ca="1" si="2"/>
        <v>SAFE</v>
      </c>
      <c r="R13" s="30" t="str" cm="1">
        <f t="array" aca="1" ref="R13" ca="1">_xlfn.IFS(Q13="EXPIRED", "WRITE-OFF", Q13="WARNING", "FlASH SALE ", Q13="CRITICAL", "FEFO PRIORITY", Q13="SAFE", "REGULAR SALES")</f>
        <v>REGULAR SALES</v>
      </c>
    </row>
    <row r="14" spans="1:19" x14ac:dyDescent="0.25">
      <c r="A14" s="4" t="s">
        <v>28</v>
      </c>
      <c r="B14" s="4" t="s">
        <v>29</v>
      </c>
      <c r="C14" s="5" t="s">
        <v>30</v>
      </c>
      <c r="D14" s="23" t="s">
        <v>10</v>
      </c>
      <c r="E14" s="18">
        <v>45843</v>
      </c>
      <c r="F14" s="18">
        <v>46551</v>
      </c>
      <c r="G14" s="6">
        <v>200</v>
      </c>
      <c r="H14" s="6">
        <f>SUMIF(Analysis_FEFO!$E$5:$E$174, A14, Analysis_FEFO!$G$5:$G$174)</f>
        <v>0</v>
      </c>
      <c r="I14" s="6">
        <f t="shared" si="3"/>
        <v>200</v>
      </c>
      <c r="J14" s="7">
        <v>28000</v>
      </c>
      <c r="K14" s="7">
        <f t="shared" si="0"/>
        <v>5600000</v>
      </c>
      <c r="L14" s="7">
        <f t="shared" si="4"/>
        <v>0</v>
      </c>
      <c r="M14" s="48">
        <f t="shared" ca="1" si="1"/>
        <v>229</v>
      </c>
      <c r="N14" s="6" t="str">
        <f t="shared" ca="1" si="5"/>
        <v>SAFE</v>
      </c>
      <c r="O14" s="29">
        <f t="shared" si="6"/>
        <v>5600000</v>
      </c>
      <c r="P14" s="38">
        <f t="shared" ca="1" si="7"/>
        <v>0</v>
      </c>
      <c r="Q14" s="4" t="str">
        <f t="shared" ca="1" si="2"/>
        <v>SAFE</v>
      </c>
      <c r="R14" s="30" t="str" cm="1">
        <f t="array" aca="1" ref="R14" ca="1">_xlfn.IFS(Q14="EXPIRED", "WRITE-OFF", Q14="WARNING", "FlASH SALE ", Q14="CRITICAL", "FEFO PRIORITY", Q14="SAFE", "REGULAR SALES")</f>
        <v>REGULAR SALES</v>
      </c>
    </row>
    <row r="15" spans="1:19" x14ac:dyDescent="0.25">
      <c r="A15" s="8" t="s">
        <v>31</v>
      </c>
      <c r="B15" s="8" t="s">
        <v>25</v>
      </c>
      <c r="C15" s="9" t="s">
        <v>26</v>
      </c>
      <c r="D15" s="24" t="s">
        <v>27</v>
      </c>
      <c r="E15" s="19">
        <v>45862</v>
      </c>
      <c r="F15" s="19">
        <v>46593</v>
      </c>
      <c r="G15" s="10">
        <v>100</v>
      </c>
      <c r="H15" s="6">
        <f>SUMIF(Analysis_FEFO!$E$5:$E$174, A15, Analysis_FEFO!$G$5:$G$174)</f>
        <v>0</v>
      </c>
      <c r="I15" s="6">
        <f t="shared" si="3"/>
        <v>100</v>
      </c>
      <c r="J15" s="11">
        <v>56000</v>
      </c>
      <c r="K15" s="11">
        <f t="shared" si="0"/>
        <v>5600000</v>
      </c>
      <c r="L15" s="7">
        <f t="shared" si="4"/>
        <v>0</v>
      </c>
      <c r="M15" s="48">
        <f t="shared" ca="1" si="1"/>
        <v>271</v>
      </c>
      <c r="N15" s="6" t="str">
        <f t="shared" ca="1" si="5"/>
        <v>SAFE</v>
      </c>
      <c r="O15" s="29">
        <f t="shared" si="6"/>
        <v>5600000</v>
      </c>
      <c r="P15" s="38">
        <f t="shared" ca="1" si="7"/>
        <v>0</v>
      </c>
      <c r="Q15" s="8" t="str">
        <f t="shared" ca="1" si="2"/>
        <v>SAFE</v>
      </c>
      <c r="R15" s="30" t="str" cm="1">
        <f t="array" aca="1" ref="R15" ca="1">_xlfn.IFS(Q15="EXPIRED", "WRITE-OFF", Q15="WARNING", "FlASH SALE ", Q15="CRITICAL", "FEFO PRIORITY", Q15="SAFE", "REGULAR SALES")</f>
        <v>REGULAR SALES</v>
      </c>
    </row>
    <row r="16" spans="1:19" x14ac:dyDescent="0.25">
      <c r="A16" s="4" t="s">
        <v>32</v>
      </c>
      <c r="B16" s="4" t="s">
        <v>33</v>
      </c>
      <c r="C16" s="5" t="s">
        <v>34</v>
      </c>
      <c r="D16" s="23" t="s">
        <v>35</v>
      </c>
      <c r="E16" s="18">
        <v>45852</v>
      </c>
      <c r="F16" s="18">
        <v>46586</v>
      </c>
      <c r="G16" s="6">
        <v>750</v>
      </c>
      <c r="H16" s="6">
        <f>SUMIF(Analysis_FEFO!$E$5:$E$174, A16, Analysis_FEFO!$G$5:$G$174)</f>
        <v>0</v>
      </c>
      <c r="I16" s="6">
        <f t="shared" si="3"/>
        <v>750</v>
      </c>
      <c r="J16" s="7">
        <v>59000</v>
      </c>
      <c r="K16" s="7">
        <f t="shared" si="0"/>
        <v>44250000</v>
      </c>
      <c r="L16" s="7">
        <f t="shared" si="4"/>
        <v>0</v>
      </c>
      <c r="M16" s="48">
        <f t="shared" ca="1" si="1"/>
        <v>264</v>
      </c>
      <c r="N16" s="6" t="str">
        <f t="shared" ca="1" si="5"/>
        <v>SAFE</v>
      </c>
      <c r="O16" s="29">
        <f t="shared" si="6"/>
        <v>44250000</v>
      </c>
      <c r="P16" s="38">
        <f t="shared" ca="1" si="7"/>
        <v>0</v>
      </c>
      <c r="Q16" s="4" t="str">
        <f t="shared" ca="1" si="2"/>
        <v>SAFE</v>
      </c>
      <c r="R16" s="30" t="str" cm="1">
        <f t="array" aca="1" ref="R16" ca="1">_xlfn.IFS(Q16="EXPIRED", "WRITE-OFF", Q16="WARNING", "FlASH SALE ", Q16="CRITICAL", "FEFO PRIORITY", Q16="SAFE", "REGULAR SALES")</f>
        <v>REGULAR SALES</v>
      </c>
    </row>
    <row r="17" spans="1:18" x14ac:dyDescent="0.25">
      <c r="A17" s="8" t="s">
        <v>36</v>
      </c>
      <c r="B17" s="8" t="s">
        <v>4</v>
      </c>
      <c r="C17" s="9" t="s">
        <v>5</v>
      </c>
      <c r="D17" s="24" t="s">
        <v>6</v>
      </c>
      <c r="E17" s="19">
        <v>46060</v>
      </c>
      <c r="F17" s="19">
        <v>46507</v>
      </c>
      <c r="G17" s="10">
        <v>500</v>
      </c>
      <c r="H17" s="6">
        <f>SUMIF(Analysis_FEFO!$E$5:$E$174, A17, Analysis_FEFO!$G$5:$G$174)</f>
        <v>500</v>
      </c>
      <c r="I17" s="6">
        <f t="shared" si="3"/>
        <v>0</v>
      </c>
      <c r="J17" s="11">
        <v>87000</v>
      </c>
      <c r="K17" s="11">
        <f t="shared" si="0"/>
        <v>43500000</v>
      </c>
      <c r="L17" s="7">
        <f t="shared" si="4"/>
        <v>43500000</v>
      </c>
      <c r="M17" s="48">
        <f t="shared" ca="1" si="1"/>
        <v>185</v>
      </c>
      <c r="N17" s="6" t="str">
        <f t="shared" ca="1" si="5"/>
        <v>SAFE</v>
      </c>
      <c r="O17" s="29">
        <f t="shared" si="6"/>
        <v>0</v>
      </c>
      <c r="P17" s="38">
        <f t="shared" ca="1" si="7"/>
        <v>0</v>
      </c>
      <c r="Q17" s="8" t="str">
        <f t="shared" ca="1" si="2"/>
        <v>SAFE</v>
      </c>
      <c r="R17" s="30" t="str" cm="1">
        <f t="array" aca="1" ref="R17" ca="1">_xlfn.IFS(Q17="EXPIRED", "WRITE-OFF", Q17="WARNING", "FlASH SALE ", Q17="CRITICAL", "FEFO PRIORITY", Q17="SAFE", "REGULAR SALES")</f>
        <v>REGULAR SALES</v>
      </c>
    </row>
    <row r="18" spans="1:18" x14ac:dyDescent="0.25">
      <c r="A18" s="4" t="s">
        <v>37</v>
      </c>
      <c r="B18" s="4" t="s">
        <v>25</v>
      </c>
      <c r="C18" s="5" t="s">
        <v>26</v>
      </c>
      <c r="D18" s="23" t="s">
        <v>27</v>
      </c>
      <c r="E18" s="18">
        <v>45861</v>
      </c>
      <c r="F18" s="18">
        <v>46595</v>
      </c>
      <c r="G18" s="6">
        <v>200</v>
      </c>
      <c r="H18" s="6">
        <f>SUMIF(Analysis_FEFO!$E$5:$E$174, A18, Analysis_FEFO!$G$5:$G$174)</f>
        <v>0</v>
      </c>
      <c r="I18" s="6">
        <f t="shared" si="3"/>
        <v>200</v>
      </c>
      <c r="J18" s="7">
        <v>63000</v>
      </c>
      <c r="K18" s="7">
        <f t="shared" si="0"/>
        <v>12600000</v>
      </c>
      <c r="L18" s="7">
        <f t="shared" si="4"/>
        <v>0</v>
      </c>
      <c r="M18" s="48">
        <f t="shared" ca="1" si="1"/>
        <v>273</v>
      </c>
      <c r="N18" s="6" t="str">
        <f t="shared" ca="1" si="5"/>
        <v>SAFE</v>
      </c>
      <c r="O18" s="29">
        <f t="shared" si="6"/>
        <v>12600000</v>
      </c>
      <c r="P18" s="38">
        <f t="shared" ca="1" si="7"/>
        <v>0</v>
      </c>
      <c r="Q18" s="4" t="str">
        <f t="shared" ca="1" si="2"/>
        <v>SAFE</v>
      </c>
      <c r="R18" s="30" t="str" cm="1">
        <f t="array" aca="1" ref="R18" ca="1">_xlfn.IFS(Q18="EXPIRED", "WRITE-OFF", Q18="WARNING", "FlASH SALE ", Q18="CRITICAL", "FEFO PRIORITY", Q18="SAFE", "REGULAR SALES")</f>
        <v>REGULAR SALES</v>
      </c>
    </row>
    <row r="19" spans="1:18" x14ac:dyDescent="0.25">
      <c r="A19" s="8" t="s">
        <v>38</v>
      </c>
      <c r="B19" s="8" t="s">
        <v>19</v>
      </c>
      <c r="C19" s="9" t="s">
        <v>20</v>
      </c>
      <c r="D19" s="24" t="s">
        <v>21</v>
      </c>
      <c r="E19" s="19">
        <v>45817</v>
      </c>
      <c r="F19" s="19">
        <v>46353</v>
      </c>
      <c r="G19" s="10">
        <v>200</v>
      </c>
      <c r="H19" s="6">
        <f>SUMIF(Analysis_FEFO!$E$5:$E$174, A19, Analysis_FEFO!$G$5:$G$174)</f>
        <v>0</v>
      </c>
      <c r="I19" s="6">
        <f t="shared" si="3"/>
        <v>200</v>
      </c>
      <c r="J19" s="11">
        <v>51000</v>
      </c>
      <c r="K19" s="11">
        <f t="shared" si="0"/>
        <v>10200000</v>
      </c>
      <c r="L19" s="7">
        <f t="shared" si="4"/>
        <v>0</v>
      </c>
      <c r="M19" s="48">
        <f t="shared" ca="1" si="1"/>
        <v>31</v>
      </c>
      <c r="N19" s="6" t="str">
        <f t="shared" ca="1" si="5"/>
        <v>SAFE</v>
      </c>
      <c r="O19" s="29">
        <f t="shared" si="6"/>
        <v>10200000</v>
      </c>
      <c r="P19" s="38">
        <f t="shared" ca="1" si="7"/>
        <v>10200000</v>
      </c>
      <c r="Q19" s="8" t="str">
        <f t="shared" ca="1" si="2"/>
        <v>CRITICAL</v>
      </c>
      <c r="R19" s="30" t="str" cm="1">
        <f t="array" aca="1" ref="R19" ca="1">_xlfn.IFS(Q19="EXPIRED", "WRITE-OFF", Q19="WARNING", "FlASH SALE ", Q19="CRITICAL", "FEFO PRIORITY", Q19="SAFE", "REGULAR SALES")</f>
        <v>FEFO PRIORITY</v>
      </c>
    </row>
    <row r="20" spans="1:18" x14ac:dyDescent="0.25">
      <c r="A20" s="4" t="s">
        <v>39</v>
      </c>
      <c r="B20" s="4" t="s">
        <v>8</v>
      </c>
      <c r="C20" s="5" t="s">
        <v>9</v>
      </c>
      <c r="D20" s="23" t="s">
        <v>10</v>
      </c>
      <c r="E20" s="18">
        <v>45889</v>
      </c>
      <c r="F20" s="18">
        <v>46601</v>
      </c>
      <c r="G20" s="6">
        <v>500</v>
      </c>
      <c r="H20" s="6">
        <f>SUMIF(Analysis_FEFO!$E$5:$E$174, A20, Analysis_FEFO!$G$5:$G$174)</f>
        <v>0</v>
      </c>
      <c r="I20" s="6">
        <f t="shared" si="3"/>
        <v>500</v>
      </c>
      <c r="J20" s="7">
        <v>36000</v>
      </c>
      <c r="K20" s="7">
        <f t="shared" si="0"/>
        <v>18000000</v>
      </c>
      <c r="L20" s="7">
        <f t="shared" si="4"/>
        <v>0</v>
      </c>
      <c r="M20" s="48">
        <f t="shared" ca="1" si="1"/>
        <v>279</v>
      </c>
      <c r="N20" s="6" t="str">
        <f t="shared" ca="1" si="5"/>
        <v>SAFE</v>
      </c>
      <c r="O20" s="29">
        <f t="shared" si="6"/>
        <v>18000000</v>
      </c>
      <c r="P20" s="38">
        <f t="shared" ca="1" si="7"/>
        <v>0</v>
      </c>
      <c r="Q20" s="4" t="str">
        <f t="shared" ca="1" si="2"/>
        <v>SAFE</v>
      </c>
      <c r="R20" s="30" t="str" cm="1">
        <f t="array" aca="1" ref="R20" ca="1">_xlfn.IFS(Q20="EXPIRED", "WRITE-OFF", Q20="WARNING", "FlASH SALE ", Q20="CRITICAL", "FEFO PRIORITY", Q20="SAFE", "REGULAR SALES")</f>
        <v>REGULAR SALES</v>
      </c>
    </row>
    <row r="21" spans="1:18" x14ac:dyDescent="0.25">
      <c r="A21" s="8" t="s">
        <v>40</v>
      </c>
      <c r="B21" s="8" t="s">
        <v>33</v>
      </c>
      <c r="C21" s="9" t="s">
        <v>34</v>
      </c>
      <c r="D21" s="24" t="s">
        <v>35</v>
      </c>
      <c r="E21" s="19">
        <v>46039</v>
      </c>
      <c r="F21" s="19">
        <v>46411</v>
      </c>
      <c r="G21" s="10">
        <v>750</v>
      </c>
      <c r="H21" s="6">
        <f>SUMIF(Analysis_FEFO!$E$5:$E$174, A21, Analysis_FEFO!$G$5:$G$174)</f>
        <v>0</v>
      </c>
      <c r="I21" s="6">
        <f t="shared" si="3"/>
        <v>750</v>
      </c>
      <c r="J21" s="11">
        <v>59000</v>
      </c>
      <c r="K21" s="11">
        <f t="shared" si="0"/>
        <v>44250000</v>
      </c>
      <c r="L21" s="7">
        <f t="shared" si="4"/>
        <v>0</v>
      </c>
      <c r="M21" s="48">
        <f t="shared" ca="1" si="1"/>
        <v>89</v>
      </c>
      <c r="N21" s="6" t="str">
        <f t="shared" ca="1" si="5"/>
        <v>SAFE</v>
      </c>
      <c r="O21" s="29">
        <f t="shared" si="6"/>
        <v>44250000</v>
      </c>
      <c r="P21" s="38">
        <f t="shared" ca="1" si="7"/>
        <v>0</v>
      </c>
      <c r="Q21" s="8" t="str">
        <f t="shared" ca="1" si="2"/>
        <v>WARNING</v>
      </c>
      <c r="R21" s="30" t="str" cm="1">
        <f t="array" aca="1" ref="R21" ca="1">_xlfn.IFS(Q21="EXPIRED", "WRITE-OFF", Q21="WARNING", "FlASH SALE ", Q21="CRITICAL", "FEFO PRIORITY", Q21="SAFE", "REGULAR SALES")</f>
        <v xml:space="preserve">FlASH SALE </v>
      </c>
    </row>
    <row r="22" spans="1:18" x14ac:dyDescent="0.25">
      <c r="A22" s="4" t="s">
        <v>41</v>
      </c>
      <c r="B22" s="4" t="s">
        <v>25</v>
      </c>
      <c r="C22" s="5" t="s">
        <v>26</v>
      </c>
      <c r="D22" s="23" t="s">
        <v>27</v>
      </c>
      <c r="E22" s="18">
        <v>45841</v>
      </c>
      <c r="F22" s="18">
        <v>46363</v>
      </c>
      <c r="G22" s="6">
        <v>300</v>
      </c>
      <c r="H22" s="6">
        <f>SUMIF(Analysis_FEFO!$E$5:$E$174, A22, Analysis_FEFO!$G$5:$G$174)</f>
        <v>300</v>
      </c>
      <c r="I22" s="6">
        <f t="shared" si="3"/>
        <v>0</v>
      </c>
      <c r="J22" s="7">
        <v>59000</v>
      </c>
      <c r="K22" s="7">
        <f t="shared" si="0"/>
        <v>17700000</v>
      </c>
      <c r="L22" s="7">
        <f t="shared" si="4"/>
        <v>17700000</v>
      </c>
      <c r="M22" s="48">
        <f t="shared" ca="1" si="1"/>
        <v>41</v>
      </c>
      <c r="N22" s="6" t="str">
        <f t="shared" ca="1" si="5"/>
        <v>SAFE</v>
      </c>
      <c r="O22" s="29">
        <f t="shared" si="6"/>
        <v>0</v>
      </c>
      <c r="P22" s="38">
        <f t="shared" ca="1" si="7"/>
        <v>0</v>
      </c>
      <c r="Q22" s="4" t="str">
        <f t="shared" ca="1" si="2"/>
        <v>CRITICAL</v>
      </c>
      <c r="R22" s="30" t="str" cm="1">
        <f t="array" aca="1" ref="R22" ca="1">_xlfn.IFS(Q22="EXPIRED", "WRITE-OFF", Q22="WARNING", "FlASH SALE ", Q22="CRITICAL", "FEFO PRIORITY", Q22="SAFE", "REGULAR SALES")</f>
        <v>FEFO PRIORITY</v>
      </c>
    </row>
    <row r="23" spans="1:18" x14ac:dyDescent="0.25">
      <c r="A23" s="8" t="s">
        <v>42</v>
      </c>
      <c r="B23" s="8" t="s">
        <v>8</v>
      </c>
      <c r="C23" s="9" t="s">
        <v>9</v>
      </c>
      <c r="D23" s="24" t="s">
        <v>10</v>
      </c>
      <c r="E23" s="19">
        <v>45980</v>
      </c>
      <c r="F23" s="19">
        <v>46351</v>
      </c>
      <c r="G23" s="10">
        <v>300</v>
      </c>
      <c r="H23" s="6">
        <f>SUMIF(Analysis_FEFO!$E$5:$E$174, A23, Analysis_FEFO!$G$5:$G$174)</f>
        <v>0</v>
      </c>
      <c r="I23" s="6">
        <f t="shared" si="3"/>
        <v>300</v>
      </c>
      <c r="J23" s="11">
        <v>34000</v>
      </c>
      <c r="K23" s="11">
        <f t="shared" si="0"/>
        <v>10200000</v>
      </c>
      <c r="L23" s="7">
        <f t="shared" si="4"/>
        <v>0</v>
      </c>
      <c r="M23" s="48">
        <f t="shared" ca="1" si="1"/>
        <v>29</v>
      </c>
      <c r="N23" s="6" t="str">
        <f t="shared" ca="1" si="5"/>
        <v>EXPIRING SOON (&lt;30 DAYS)</v>
      </c>
      <c r="O23" s="29">
        <f t="shared" si="6"/>
        <v>10200000</v>
      </c>
      <c r="P23" s="38">
        <f t="shared" ca="1" si="7"/>
        <v>10200000</v>
      </c>
      <c r="Q23" s="8" t="str">
        <f t="shared" ca="1" si="2"/>
        <v>CRITICAL</v>
      </c>
      <c r="R23" s="30" t="str" cm="1">
        <f t="array" aca="1" ref="R23" ca="1">_xlfn.IFS(Q23="EXPIRED", "WRITE-OFF", Q23="WARNING", "FlASH SALE ", Q23="CRITICAL", "FEFO PRIORITY", Q23="SAFE", "REGULAR SALES")</f>
        <v>FEFO PRIORITY</v>
      </c>
    </row>
    <row r="24" spans="1:18" x14ac:dyDescent="0.25">
      <c r="A24" s="4" t="s">
        <v>43</v>
      </c>
      <c r="B24" s="4" t="s">
        <v>16</v>
      </c>
      <c r="C24" s="5" t="s">
        <v>17</v>
      </c>
      <c r="D24" s="23" t="s">
        <v>6</v>
      </c>
      <c r="E24" s="18">
        <v>45939</v>
      </c>
      <c r="F24" s="18">
        <v>46489</v>
      </c>
      <c r="G24" s="6">
        <v>200</v>
      </c>
      <c r="H24" s="6">
        <f>SUMIF(Analysis_FEFO!$E$5:$E$174, A24, Analysis_FEFO!$G$5:$G$174)</f>
        <v>0</v>
      </c>
      <c r="I24" s="6">
        <f t="shared" si="3"/>
        <v>200</v>
      </c>
      <c r="J24" s="7">
        <v>66000</v>
      </c>
      <c r="K24" s="7">
        <f t="shared" si="0"/>
        <v>13200000</v>
      </c>
      <c r="L24" s="7">
        <f t="shared" si="4"/>
        <v>0</v>
      </c>
      <c r="M24" s="48">
        <f t="shared" ca="1" si="1"/>
        <v>167</v>
      </c>
      <c r="N24" s="6" t="str">
        <f t="shared" ca="1" si="5"/>
        <v>SAFE</v>
      </c>
      <c r="O24" s="29">
        <f t="shared" si="6"/>
        <v>13200000</v>
      </c>
      <c r="P24" s="38">
        <f t="shared" ca="1" si="7"/>
        <v>0</v>
      </c>
      <c r="Q24" s="4" t="str">
        <f t="shared" ca="1" si="2"/>
        <v>WARNING</v>
      </c>
      <c r="R24" s="30" t="str" cm="1">
        <f t="array" aca="1" ref="R24" ca="1">_xlfn.IFS(Q24="EXPIRED", "WRITE-OFF", Q24="WARNING", "FlASH SALE ", Q24="CRITICAL", "FEFO PRIORITY", Q24="SAFE", "REGULAR SALES")</f>
        <v xml:space="preserve">FlASH SALE </v>
      </c>
    </row>
    <row r="25" spans="1:18" x14ac:dyDescent="0.25">
      <c r="A25" s="8" t="s">
        <v>44</v>
      </c>
      <c r="B25" s="8" t="s">
        <v>45</v>
      </c>
      <c r="C25" s="9" t="s">
        <v>46</v>
      </c>
      <c r="D25" s="24" t="s">
        <v>14</v>
      </c>
      <c r="E25" s="19">
        <v>46015</v>
      </c>
      <c r="F25" s="19">
        <v>46644</v>
      </c>
      <c r="G25" s="10">
        <v>250</v>
      </c>
      <c r="H25" s="6">
        <f>SUMIF(Analysis_FEFO!$E$5:$E$174, A25, Analysis_FEFO!$G$5:$G$174)</f>
        <v>0</v>
      </c>
      <c r="I25" s="6">
        <f t="shared" si="3"/>
        <v>250</v>
      </c>
      <c r="J25" s="11">
        <v>87000</v>
      </c>
      <c r="K25" s="11">
        <f t="shared" si="0"/>
        <v>21750000</v>
      </c>
      <c r="L25" s="7">
        <f t="shared" si="4"/>
        <v>0</v>
      </c>
      <c r="M25" s="48">
        <f t="shared" ca="1" si="1"/>
        <v>322</v>
      </c>
      <c r="N25" s="6" t="str">
        <f t="shared" ca="1" si="5"/>
        <v>SAFE</v>
      </c>
      <c r="O25" s="29">
        <f t="shared" si="6"/>
        <v>21750000</v>
      </c>
      <c r="P25" s="38">
        <f t="shared" ca="1" si="7"/>
        <v>0</v>
      </c>
      <c r="Q25" s="8" t="str">
        <f t="shared" ca="1" si="2"/>
        <v>SAFE</v>
      </c>
      <c r="R25" s="30" t="str" cm="1">
        <f t="array" aca="1" ref="R25" ca="1">_xlfn.IFS(Q25="EXPIRED", "WRITE-OFF", Q25="WARNING", "FlASH SALE ", Q25="CRITICAL", "FEFO PRIORITY", Q25="SAFE", "REGULAR SALES")</f>
        <v>REGULAR SALES</v>
      </c>
    </row>
    <row r="26" spans="1:18" x14ac:dyDescent="0.25">
      <c r="A26" s="4" t="s">
        <v>47</v>
      </c>
      <c r="B26" s="4" t="s">
        <v>4</v>
      </c>
      <c r="C26" s="5" t="s">
        <v>5</v>
      </c>
      <c r="D26" s="23" t="s">
        <v>6</v>
      </c>
      <c r="E26" s="18">
        <v>46049</v>
      </c>
      <c r="F26" s="18">
        <v>46672</v>
      </c>
      <c r="G26" s="6">
        <v>750</v>
      </c>
      <c r="H26" s="6">
        <f>SUMIF(Analysis_FEFO!$E$5:$E$174, A26, Analysis_FEFO!$G$5:$G$174)</f>
        <v>0</v>
      </c>
      <c r="I26" s="6">
        <f t="shared" si="3"/>
        <v>750</v>
      </c>
      <c r="J26" s="7">
        <v>81000</v>
      </c>
      <c r="K26" s="7">
        <f t="shared" si="0"/>
        <v>60750000</v>
      </c>
      <c r="L26" s="7">
        <f t="shared" si="4"/>
        <v>0</v>
      </c>
      <c r="M26" s="48">
        <f t="shared" ca="1" si="1"/>
        <v>350</v>
      </c>
      <c r="N26" s="6" t="str">
        <f t="shared" ca="1" si="5"/>
        <v>SAFE</v>
      </c>
      <c r="O26" s="29">
        <f t="shared" si="6"/>
        <v>60750000</v>
      </c>
      <c r="P26" s="38">
        <f t="shared" ca="1" si="7"/>
        <v>0</v>
      </c>
      <c r="Q26" s="4" t="str">
        <f t="shared" ca="1" si="2"/>
        <v>SAFE</v>
      </c>
      <c r="R26" s="30" t="str" cm="1">
        <f t="array" aca="1" ref="R26" ca="1">_xlfn.IFS(Q26="EXPIRED", "WRITE-OFF", Q26="WARNING", "FlASH SALE ", Q26="CRITICAL", "FEFO PRIORITY", Q26="SAFE", "REGULAR SALES")</f>
        <v>REGULAR SALES</v>
      </c>
    </row>
    <row r="27" spans="1:18" x14ac:dyDescent="0.25">
      <c r="A27" s="8" t="s">
        <v>48</v>
      </c>
      <c r="B27" s="8" t="s">
        <v>4</v>
      </c>
      <c r="C27" s="9" t="s">
        <v>5</v>
      </c>
      <c r="D27" s="24" t="s">
        <v>6</v>
      </c>
      <c r="E27" s="19">
        <v>46045</v>
      </c>
      <c r="F27" s="19">
        <v>46418</v>
      </c>
      <c r="G27" s="10">
        <v>200</v>
      </c>
      <c r="H27" s="6">
        <f>SUMIF(Analysis_FEFO!$E$5:$E$174, A27, Analysis_FEFO!$G$5:$G$174)</f>
        <v>0</v>
      </c>
      <c r="I27" s="6">
        <f t="shared" si="3"/>
        <v>200</v>
      </c>
      <c r="J27" s="11">
        <v>81000</v>
      </c>
      <c r="K27" s="11">
        <f t="shared" si="0"/>
        <v>16200000</v>
      </c>
      <c r="L27" s="7">
        <f t="shared" si="4"/>
        <v>0</v>
      </c>
      <c r="M27" s="48">
        <f t="shared" ca="1" si="1"/>
        <v>96</v>
      </c>
      <c r="N27" s="6" t="str">
        <f t="shared" ca="1" si="5"/>
        <v>SAFE</v>
      </c>
      <c r="O27" s="29">
        <f t="shared" si="6"/>
        <v>16200000</v>
      </c>
      <c r="P27" s="38">
        <f t="shared" ca="1" si="7"/>
        <v>0</v>
      </c>
      <c r="Q27" s="8" t="str">
        <f t="shared" ca="1" si="2"/>
        <v>WARNING</v>
      </c>
      <c r="R27" s="30" t="str" cm="1">
        <f t="array" aca="1" ref="R27" ca="1">_xlfn.IFS(Q27="EXPIRED", "WRITE-OFF", Q27="WARNING", "FlASH SALE ", Q27="CRITICAL", "FEFO PRIORITY", Q27="SAFE", "REGULAR SALES")</f>
        <v xml:space="preserve">FlASH SALE </v>
      </c>
    </row>
    <row r="28" spans="1:18" x14ac:dyDescent="0.25">
      <c r="A28" s="4" t="s">
        <v>49</v>
      </c>
      <c r="B28" s="4" t="s">
        <v>8</v>
      </c>
      <c r="C28" s="5" t="s">
        <v>9</v>
      </c>
      <c r="D28" s="23" t="s">
        <v>10</v>
      </c>
      <c r="E28" s="18">
        <v>45894</v>
      </c>
      <c r="F28" s="18">
        <v>46428</v>
      </c>
      <c r="G28" s="6">
        <v>500</v>
      </c>
      <c r="H28" s="6">
        <f>SUMIF(Analysis_FEFO!$E$5:$E$174, A28, Analysis_FEFO!$G$5:$G$174)</f>
        <v>0</v>
      </c>
      <c r="I28" s="6">
        <f t="shared" si="3"/>
        <v>500</v>
      </c>
      <c r="J28" s="7">
        <v>32000</v>
      </c>
      <c r="K28" s="7">
        <f t="shared" si="0"/>
        <v>16000000</v>
      </c>
      <c r="L28" s="7">
        <f t="shared" si="4"/>
        <v>0</v>
      </c>
      <c r="M28" s="48">
        <f t="shared" ca="1" si="1"/>
        <v>106</v>
      </c>
      <c r="N28" s="6" t="str">
        <f t="shared" ca="1" si="5"/>
        <v>SAFE</v>
      </c>
      <c r="O28" s="29">
        <f t="shared" si="6"/>
        <v>16000000</v>
      </c>
      <c r="P28" s="38">
        <f t="shared" ca="1" si="7"/>
        <v>0</v>
      </c>
      <c r="Q28" s="4" t="str">
        <f t="shared" ca="1" si="2"/>
        <v>WARNING</v>
      </c>
      <c r="R28" s="30" t="str" cm="1">
        <f t="array" aca="1" ref="R28" ca="1">_xlfn.IFS(Q28="EXPIRED", "WRITE-OFF", Q28="WARNING", "FlASH SALE ", Q28="CRITICAL", "FEFO PRIORITY", Q28="SAFE", "REGULAR SALES")</f>
        <v xml:space="preserve">FlASH SALE </v>
      </c>
    </row>
    <row r="29" spans="1:18" x14ac:dyDescent="0.25">
      <c r="A29" s="8" t="s">
        <v>50</v>
      </c>
      <c r="B29" s="8" t="s">
        <v>16</v>
      </c>
      <c r="C29" s="9" t="s">
        <v>17</v>
      </c>
      <c r="D29" s="24" t="s">
        <v>6</v>
      </c>
      <c r="E29" s="19">
        <v>45942</v>
      </c>
      <c r="F29" s="19">
        <v>46573</v>
      </c>
      <c r="G29" s="10">
        <v>200</v>
      </c>
      <c r="H29" s="6">
        <f>SUMIF(Analysis_FEFO!$E$5:$E$174, A29, Analysis_FEFO!$G$5:$G$174)</f>
        <v>0</v>
      </c>
      <c r="I29" s="6">
        <f t="shared" si="3"/>
        <v>200</v>
      </c>
      <c r="J29" s="11">
        <v>70000</v>
      </c>
      <c r="K29" s="11">
        <f t="shared" si="0"/>
        <v>14000000</v>
      </c>
      <c r="L29" s="7">
        <f t="shared" si="4"/>
        <v>0</v>
      </c>
      <c r="M29" s="48">
        <f t="shared" ca="1" si="1"/>
        <v>251</v>
      </c>
      <c r="N29" s="6" t="str">
        <f t="shared" ca="1" si="5"/>
        <v>SAFE</v>
      </c>
      <c r="O29" s="29">
        <f t="shared" si="6"/>
        <v>14000000</v>
      </c>
      <c r="P29" s="38">
        <f t="shared" ca="1" si="7"/>
        <v>0</v>
      </c>
      <c r="Q29" s="8" t="str">
        <f t="shared" ca="1" si="2"/>
        <v>SAFE</v>
      </c>
      <c r="R29" s="30" t="str" cm="1">
        <f t="array" aca="1" ref="R29" ca="1">_xlfn.IFS(Q29="EXPIRED", "WRITE-OFF", Q29="WARNING", "FlASH SALE ", Q29="CRITICAL", "FEFO PRIORITY", Q29="SAFE", "REGULAR SALES")</f>
        <v>REGULAR SALES</v>
      </c>
    </row>
    <row r="30" spans="1:18" x14ac:dyDescent="0.25">
      <c r="A30" s="4" t="s">
        <v>51</v>
      </c>
      <c r="B30" s="4" t="s">
        <v>33</v>
      </c>
      <c r="C30" s="5" t="s">
        <v>34</v>
      </c>
      <c r="D30" s="23" t="s">
        <v>35</v>
      </c>
      <c r="E30" s="18">
        <v>46039</v>
      </c>
      <c r="F30" s="18">
        <v>46744</v>
      </c>
      <c r="G30" s="6">
        <v>200</v>
      </c>
      <c r="H30" s="6">
        <f>SUMIF(Analysis_FEFO!$E$5:$E$174, A30, Analysis_FEFO!$G$5:$G$174)</f>
        <v>0</v>
      </c>
      <c r="I30" s="6">
        <f t="shared" si="3"/>
        <v>200</v>
      </c>
      <c r="J30" s="7">
        <v>60000</v>
      </c>
      <c r="K30" s="7">
        <f t="shared" si="0"/>
        <v>12000000</v>
      </c>
      <c r="L30" s="7">
        <f t="shared" si="4"/>
        <v>0</v>
      </c>
      <c r="M30" s="48">
        <f t="shared" ca="1" si="1"/>
        <v>422</v>
      </c>
      <c r="N30" s="6" t="str">
        <f t="shared" ca="1" si="5"/>
        <v>SAFE</v>
      </c>
      <c r="O30" s="29">
        <f t="shared" si="6"/>
        <v>12000000</v>
      </c>
      <c r="P30" s="38">
        <f t="shared" ca="1" si="7"/>
        <v>0</v>
      </c>
      <c r="Q30" s="4" t="str">
        <f t="shared" ca="1" si="2"/>
        <v>SAFE</v>
      </c>
      <c r="R30" s="30" t="str" cm="1">
        <f t="array" aca="1" ref="R30" ca="1">_xlfn.IFS(Q30="EXPIRED", "WRITE-OFF", Q30="WARNING", "FlASH SALE ", Q30="CRITICAL", "FEFO PRIORITY", Q30="SAFE", "REGULAR SALES")</f>
        <v>REGULAR SALES</v>
      </c>
    </row>
    <row r="31" spans="1:18" x14ac:dyDescent="0.25">
      <c r="A31" s="8" t="s">
        <v>52</v>
      </c>
      <c r="B31" s="8" t="s">
        <v>53</v>
      </c>
      <c r="C31" s="9" t="s">
        <v>54</v>
      </c>
      <c r="D31" s="24" t="s">
        <v>35</v>
      </c>
      <c r="E31" s="19">
        <v>46041</v>
      </c>
      <c r="F31" s="19">
        <v>46666</v>
      </c>
      <c r="G31" s="10">
        <v>300</v>
      </c>
      <c r="H31" s="6">
        <f>SUMIF(Analysis_FEFO!$E$5:$E$174, A31, Analysis_FEFO!$G$5:$G$174)</f>
        <v>300</v>
      </c>
      <c r="I31" s="6">
        <f t="shared" si="3"/>
        <v>0</v>
      </c>
      <c r="J31" s="11">
        <v>56000</v>
      </c>
      <c r="K31" s="11">
        <f t="shared" si="0"/>
        <v>16800000</v>
      </c>
      <c r="L31" s="7">
        <f t="shared" si="4"/>
        <v>16800000</v>
      </c>
      <c r="M31" s="48">
        <f t="shared" ca="1" si="1"/>
        <v>344</v>
      </c>
      <c r="N31" s="6" t="str">
        <f t="shared" ca="1" si="5"/>
        <v>SAFE</v>
      </c>
      <c r="O31" s="29">
        <f t="shared" si="6"/>
        <v>0</v>
      </c>
      <c r="P31" s="38">
        <f t="shared" ca="1" si="7"/>
        <v>0</v>
      </c>
      <c r="Q31" s="8" t="str">
        <f t="shared" ca="1" si="2"/>
        <v>SAFE</v>
      </c>
      <c r="R31" s="30" t="str" cm="1">
        <f t="array" aca="1" ref="R31" ca="1">_xlfn.IFS(Q31="EXPIRED", "WRITE-OFF", Q31="WARNING", "FlASH SALE ", Q31="CRITICAL", "FEFO PRIORITY", Q31="SAFE", "REGULAR SALES")</f>
        <v>REGULAR SALES</v>
      </c>
    </row>
    <row r="32" spans="1:18" x14ac:dyDescent="0.25">
      <c r="A32" s="4" t="s">
        <v>55</v>
      </c>
      <c r="B32" s="4" t="s">
        <v>16</v>
      </c>
      <c r="C32" s="5" t="s">
        <v>17</v>
      </c>
      <c r="D32" s="23" t="s">
        <v>6</v>
      </c>
      <c r="E32" s="18">
        <v>46033</v>
      </c>
      <c r="F32" s="18">
        <v>46544</v>
      </c>
      <c r="G32" s="6">
        <v>200</v>
      </c>
      <c r="H32" s="6">
        <f>SUMIF(Analysis_FEFO!$E$5:$E$174, A32, Analysis_FEFO!$G$5:$G$174)</f>
        <v>0</v>
      </c>
      <c r="I32" s="6">
        <f t="shared" si="3"/>
        <v>200</v>
      </c>
      <c r="J32" s="7">
        <v>70000</v>
      </c>
      <c r="K32" s="7">
        <f t="shared" si="0"/>
        <v>14000000</v>
      </c>
      <c r="L32" s="7">
        <f t="shared" si="4"/>
        <v>0</v>
      </c>
      <c r="M32" s="48">
        <f t="shared" ca="1" si="1"/>
        <v>222</v>
      </c>
      <c r="N32" s="6" t="str">
        <f t="shared" ca="1" si="5"/>
        <v>SAFE</v>
      </c>
      <c r="O32" s="29">
        <f t="shared" si="6"/>
        <v>14000000</v>
      </c>
      <c r="P32" s="38">
        <f t="shared" ca="1" si="7"/>
        <v>0</v>
      </c>
      <c r="Q32" s="4" t="str">
        <f t="shared" ca="1" si="2"/>
        <v>SAFE</v>
      </c>
      <c r="R32" s="30" t="str" cm="1">
        <f t="array" aca="1" ref="R32" ca="1">_xlfn.IFS(Q32="EXPIRED", "WRITE-OFF", Q32="WARNING", "FlASH SALE ", Q32="CRITICAL", "FEFO PRIORITY", Q32="SAFE", "REGULAR SALES")</f>
        <v>REGULAR SALES</v>
      </c>
    </row>
    <row r="33" spans="1:18" x14ac:dyDescent="0.25">
      <c r="A33" s="8" t="s">
        <v>56</v>
      </c>
      <c r="B33" s="8" t="s">
        <v>12</v>
      </c>
      <c r="C33" s="9" t="s">
        <v>13</v>
      </c>
      <c r="D33" s="24" t="s">
        <v>14</v>
      </c>
      <c r="E33" s="19">
        <v>45968</v>
      </c>
      <c r="F33" s="19">
        <v>46321</v>
      </c>
      <c r="G33" s="10">
        <v>250</v>
      </c>
      <c r="H33" s="6">
        <f>SUMIF(Analysis_FEFO!$E$5:$E$174, A33, Analysis_FEFO!$G$5:$G$174)</f>
        <v>0</v>
      </c>
      <c r="I33" s="6">
        <f t="shared" si="3"/>
        <v>250</v>
      </c>
      <c r="J33" s="11">
        <v>33000</v>
      </c>
      <c r="K33" s="11">
        <f t="shared" si="0"/>
        <v>8250000</v>
      </c>
      <c r="L33" s="7">
        <f t="shared" si="4"/>
        <v>0</v>
      </c>
      <c r="M33" s="48">
        <f t="shared" ca="1" si="1"/>
        <v>-1</v>
      </c>
      <c r="N33" s="6" t="str">
        <f t="shared" ca="1" si="5"/>
        <v>EXPIRED</v>
      </c>
      <c r="O33" s="29">
        <f t="shared" si="6"/>
        <v>8250000</v>
      </c>
      <c r="P33" s="38">
        <f t="shared" ca="1" si="7"/>
        <v>8250000</v>
      </c>
      <c r="Q33" s="8" t="str">
        <f t="shared" ca="1" si="2"/>
        <v>EXPIRED</v>
      </c>
      <c r="R33" s="30" t="str" cm="1">
        <f t="array" aca="1" ref="R33" ca="1">_xlfn.IFS(Q33="EXPIRED", "WRITE-OFF", Q33="WARNING", "FlASH SALE ", Q33="CRITICAL", "FEFO PRIORITY", Q33="SAFE", "REGULAR SALES")</f>
        <v>WRITE-OFF</v>
      </c>
    </row>
    <row r="34" spans="1:18" x14ac:dyDescent="0.25">
      <c r="A34" s="4" t="s">
        <v>57</v>
      </c>
      <c r="B34" s="4" t="s">
        <v>19</v>
      </c>
      <c r="C34" s="5" t="s">
        <v>20</v>
      </c>
      <c r="D34" s="23" t="s">
        <v>21</v>
      </c>
      <c r="E34" s="18">
        <v>45860</v>
      </c>
      <c r="F34" s="18">
        <v>46396</v>
      </c>
      <c r="G34" s="6">
        <v>250</v>
      </c>
      <c r="H34" s="6">
        <f>SUMIF(Analysis_FEFO!$E$5:$E$174, A34, Analysis_FEFO!$G$5:$G$174)</f>
        <v>250</v>
      </c>
      <c r="I34" s="6">
        <f t="shared" si="3"/>
        <v>0</v>
      </c>
      <c r="J34" s="7">
        <v>45000</v>
      </c>
      <c r="K34" s="7">
        <f t="shared" si="0"/>
        <v>11250000</v>
      </c>
      <c r="L34" s="7">
        <f t="shared" si="4"/>
        <v>11250000</v>
      </c>
      <c r="M34" s="48">
        <f t="shared" ca="1" si="1"/>
        <v>74</v>
      </c>
      <c r="N34" s="6" t="str">
        <f t="shared" ca="1" si="5"/>
        <v>SAFE</v>
      </c>
      <c r="O34" s="29">
        <f t="shared" si="6"/>
        <v>0</v>
      </c>
      <c r="P34" s="38">
        <f t="shared" ca="1" si="7"/>
        <v>0</v>
      </c>
      <c r="Q34" s="4" t="str">
        <f t="shared" ca="1" si="2"/>
        <v>WARNING</v>
      </c>
      <c r="R34" s="30" t="str" cm="1">
        <f t="array" aca="1" ref="R34" ca="1">_xlfn.IFS(Q34="EXPIRED", "WRITE-OFF", Q34="WARNING", "FlASH SALE ", Q34="CRITICAL", "FEFO PRIORITY", Q34="SAFE", "REGULAR SALES")</f>
        <v xml:space="preserve">FlASH SALE </v>
      </c>
    </row>
    <row r="35" spans="1:18" x14ac:dyDescent="0.25">
      <c r="A35" s="8" t="s">
        <v>58</v>
      </c>
      <c r="B35" s="8" t="s">
        <v>16</v>
      </c>
      <c r="C35" s="9" t="s">
        <v>17</v>
      </c>
      <c r="D35" s="24" t="s">
        <v>6</v>
      </c>
      <c r="E35" s="19">
        <v>45921</v>
      </c>
      <c r="F35" s="19">
        <v>46652</v>
      </c>
      <c r="G35" s="10">
        <v>300</v>
      </c>
      <c r="H35" s="6">
        <f>SUMIF(Analysis_FEFO!$E$5:$E$174, A35, Analysis_FEFO!$G$5:$G$174)</f>
        <v>0</v>
      </c>
      <c r="I35" s="6">
        <f t="shared" si="3"/>
        <v>300</v>
      </c>
      <c r="J35" s="11">
        <v>61000</v>
      </c>
      <c r="K35" s="11">
        <f t="shared" si="0"/>
        <v>18300000</v>
      </c>
      <c r="L35" s="7">
        <f t="shared" si="4"/>
        <v>0</v>
      </c>
      <c r="M35" s="48">
        <f t="shared" ca="1" si="1"/>
        <v>330</v>
      </c>
      <c r="N35" s="6" t="str">
        <f t="shared" ca="1" si="5"/>
        <v>SAFE</v>
      </c>
      <c r="O35" s="29">
        <f t="shared" si="6"/>
        <v>18300000</v>
      </c>
      <c r="P35" s="38">
        <f t="shared" ca="1" si="7"/>
        <v>0</v>
      </c>
      <c r="Q35" s="8" t="str">
        <f t="shared" ca="1" si="2"/>
        <v>SAFE</v>
      </c>
      <c r="R35" s="30" t="str" cm="1">
        <f t="array" aca="1" ref="R35" ca="1">_xlfn.IFS(Q35="EXPIRED", "WRITE-OFF", Q35="WARNING", "FlASH SALE ", Q35="CRITICAL", "FEFO PRIORITY", Q35="SAFE", "REGULAR SALES")</f>
        <v>REGULAR SALES</v>
      </c>
    </row>
    <row r="36" spans="1:18" x14ac:dyDescent="0.25">
      <c r="A36" s="4" t="s">
        <v>59</v>
      </c>
      <c r="B36" s="4" t="s">
        <v>12</v>
      </c>
      <c r="C36" s="5" t="s">
        <v>13</v>
      </c>
      <c r="D36" s="23" t="s">
        <v>14</v>
      </c>
      <c r="E36" s="18">
        <v>46032</v>
      </c>
      <c r="F36" s="18">
        <v>46755</v>
      </c>
      <c r="G36" s="6">
        <v>300</v>
      </c>
      <c r="H36" s="6">
        <f>SUMIF(Analysis_FEFO!$E$5:$E$174, A36, Analysis_FEFO!$G$5:$G$174)</f>
        <v>0</v>
      </c>
      <c r="I36" s="6">
        <f t="shared" si="3"/>
        <v>300</v>
      </c>
      <c r="J36" s="7">
        <v>32000</v>
      </c>
      <c r="K36" s="7">
        <f t="shared" si="0"/>
        <v>9600000</v>
      </c>
      <c r="L36" s="7">
        <f t="shared" si="4"/>
        <v>0</v>
      </c>
      <c r="M36" s="48">
        <f t="shared" ca="1" si="1"/>
        <v>433</v>
      </c>
      <c r="N36" s="6" t="str">
        <f t="shared" ca="1" si="5"/>
        <v>SAFE</v>
      </c>
      <c r="O36" s="29">
        <f t="shared" si="6"/>
        <v>9600000</v>
      </c>
      <c r="P36" s="38">
        <f t="shared" ca="1" si="7"/>
        <v>0</v>
      </c>
      <c r="Q36" s="4" t="str">
        <f t="shared" ca="1" si="2"/>
        <v>SAFE</v>
      </c>
      <c r="R36" s="30" t="str" cm="1">
        <f t="array" aca="1" ref="R36" ca="1">_xlfn.IFS(Q36="EXPIRED", "WRITE-OFF", Q36="WARNING", "FlASH SALE ", Q36="CRITICAL", "FEFO PRIORITY", Q36="SAFE", "REGULAR SALES")</f>
        <v>REGULAR SALES</v>
      </c>
    </row>
    <row r="37" spans="1:18" x14ac:dyDescent="0.25">
      <c r="A37" s="8" t="s">
        <v>60</v>
      </c>
      <c r="B37" s="8" t="s">
        <v>33</v>
      </c>
      <c r="C37" s="9" t="s">
        <v>34</v>
      </c>
      <c r="D37" s="24" t="s">
        <v>35</v>
      </c>
      <c r="E37" s="19">
        <v>45968</v>
      </c>
      <c r="F37" s="19">
        <v>46335</v>
      </c>
      <c r="G37" s="10">
        <v>300</v>
      </c>
      <c r="H37" s="6">
        <f>SUMIF(Analysis_FEFO!$E$5:$E$174, A37, Analysis_FEFO!$G$5:$G$174)</f>
        <v>0</v>
      </c>
      <c r="I37" s="6">
        <f t="shared" si="3"/>
        <v>300</v>
      </c>
      <c r="J37" s="11">
        <v>62000</v>
      </c>
      <c r="K37" s="11">
        <f t="shared" si="0"/>
        <v>18600000</v>
      </c>
      <c r="L37" s="7">
        <f t="shared" si="4"/>
        <v>0</v>
      </c>
      <c r="M37" s="48">
        <f t="shared" ca="1" si="1"/>
        <v>13</v>
      </c>
      <c r="N37" s="6" t="str">
        <f t="shared" ca="1" si="5"/>
        <v>EXPIRING SOON (&lt;30 DAYS)</v>
      </c>
      <c r="O37" s="29">
        <f t="shared" si="6"/>
        <v>18600000</v>
      </c>
      <c r="P37" s="38">
        <f t="shared" ca="1" si="7"/>
        <v>18600000</v>
      </c>
      <c r="Q37" s="8" t="str">
        <f t="shared" ca="1" si="2"/>
        <v>CRITICAL</v>
      </c>
      <c r="R37" s="30" t="str" cm="1">
        <f t="array" aca="1" ref="R37" ca="1">_xlfn.IFS(Q37="EXPIRED", "WRITE-OFF", Q37="WARNING", "FlASH SALE ", Q37="CRITICAL", "FEFO PRIORITY", Q37="SAFE", "REGULAR SALES")</f>
        <v>FEFO PRIORITY</v>
      </c>
    </row>
    <row r="38" spans="1:18" x14ac:dyDescent="0.25">
      <c r="A38" s="4" t="s">
        <v>61</v>
      </c>
      <c r="B38" s="4" t="s">
        <v>29</v>
      </c>
      <c r="C38" s="5" t="s">
        <v>30</v>
      </c>
      <c r="D38" s="23" t="s">
        <v>10</v>
      </c>
      <c r="E38" s="18">
        <v>45931</v>
      </c>
      <c r="F38" s="18">
        <v>46466</v>
      </c>
      <c r="G38" s="6">
        <v>250</v>
      </c>
      <c r="H38" s="6">
        <f>SUMIF(Analysis_FEFO!$E$5:$E$174, A38, Analysis_FEFO!$G$5:$G$174)</f>
        <v>250</v>
      </c>
      <c r="I38" s="6">
        <f t="shared" si="3"/>
        <v>0</v>
      </c>
      <c r="J38" s="7">
        <v>28000</v>
      </c>
      <c r="K38" s="7">
        <f t="shared" si="0"/>
        <v>7000000</v>
      </c>
      <c r="L38" s="7">
        <f t="shared" si="4"/>
        <v>7000000</v>
      </c>
      <c r="M38" s="48">
        <f t="shared" ca="1" si="1"/>
        <v>144</v>
      </c>
      <c r="N38" s="6" t="str">
        <f t="shared" ca="1" si="5"/>
        <v>SAFE</v>
      </c>
      <c r="O38" s="29">
        <f t="shared" si="6"/>
        <v>0</v>
      </c>
      <c r="P38" s="38">
        <f t="shared" ca="1" si="7"/>
        <v>0</v>
      </c>
      <c r="Q38" s="4" t="str">
        <f t="shared" ca="1" si="2"/>
        <v>WARNING</v>
      </c>
      <c r="R38" s="30" t="str" cm="1">
        <f t="array" aca="1" ref="R38" ca="1">_xlfn.IFS(Q38="EXPIRED", "WRITE-OFF", Q38="WARNING", "FlASH SALE ", Q38="CRITICAL", "FEFO PRIORITY", Q38="SAFE", "REGULAR SALES")</f>
        <v xml:space="preserve">FlASH SALE </v>
      </c>
    </row>
    <row r="39" spans="1:18" x14ac:dyDescent="0.25">
      <c r="A39" s="8" t="s">
        <v>62</v>
      </c>
      <c r="B39" s="8" t="s">
        <v>25</v>
      </c>
      <c r="C39" s="9" t="s">
        <v>26</v>
      </c>
      <c r="D39" s="24" t="s">
        <v>27</v>
      </c>
      <c r="E39" s="19">
        <v>46006</v>
      </c>
      <c r="F39" s="19">
        <v>46641</v>
      </c>
      <c r="G39" s="10">
        <v>500</v>
      </c>
      <c r="H39" s="6">
        <f>SUMIF(Analysis_FEFO!$E$5:$E$174, A39, Analysis_FEFO!$G$5:$G$174)</f>
        <v>0</v>
      </c>
      <c r="I39" s="6">
        <f t="shared" si="3"/>
        <v>500</v>
      </c>
      <c r="J39" s="11">
        <v>63000</v>
      </c>
      <c r="K39" s="11">
        <f t="shared" si="0"/>
        <v>31500000</v>
      </c>
      <c r="L39" s="7">
        <f t="shared" si="4"/>
        <v>0</v>
      </c>
      <c r="M39" s="48">
        <f t="shared" ca="1" si="1"/>
        <v>319</v>
      </c>
      <c r="N39" s="6" t="str">
        <f t="shared" ca="1" si="5"/>
        <v>SAFE</v>
      </c>
      <c r="O39" s="29">
        <f t="shared" si="6"/>
        <v>31500000</v>
      </c>
      <c r="P39" s="38">
        <f t="shared" ca="1" si="7"/>
        <v>0</v>
      </c>
      <c r="Q39" s="8" t="str">
        <f t="shared" ca="1" si="2"/>
        <v>SAFE</v>
      </c>
      <c r="R39" s="30" t="str" cm="1">
        <f t="array" aca="1" ref="R39" ca="1">_xlfn.IFS(Q39="EXPIRED", "WRITE-OFF", Q39="WARNING", "FlASH SALE ", Q39="CRITICAL", "FEFO PRIORITY", Q39="SAFE", "REGULAR SALES")</f>
        <v>REGULAR SALES</v>
      </c>
    </row>
    <row r="40" spans="1:18" x14ac:dyDescent="0.25">
      <c r="A40" s="4" t="s">
        <v>63</v>
      </c>
      <c r="B40" s="4" t="s">
        <v>12</v>
      </c>
      <c r="C40" s="5" t="s">
        <v>13</v>
      </c>
      <c r="D40" s="23" t="s">
        <v>14</v>
      </c>
      <c r="E40" s="18">
        <v>46067</v>
      </c>
      <c r="F40" s="18">
        <v>46438</v>
      </c>
      <c r="G40" s="6">
        <v>200</v>
      </c>
      <c r="H40" s="6">
        <f>SUMIF(Analysis_FEFO!$E$5:$E$174, A40, Analysis_FEFO!$G$5:$G$174)</f>
        <v>0</v>
      </c>
      <c r="I40" s="6">
        <f t="shared" si="3"/>
        <v>200</v>
      </c>
      <c r="J40" s="7">
        <v>29000</v>
      </c>
      <c r="K40" s="7">
        <f t="shared" si="0"/>
        <v>5800000</v>
      </c>
      <c r="L40" s="7">
        <f t="shared" si="4"/>
        <v>0</v>
      </c>
      <c r="M40" s="48">
        <f t="shared" ca="1" si="1"/>
        <v>116</v>
      </c>
      <c r="N40" s="6" t="str">
        <f t="shared" ca="1" si="5"/>
        <v>SAFE</v>
      </c>
      <c r="O40" s="29">
        <f t="shared" si="6"/>
        <v>5800000</v>
      </c>
      <c r="P40" s="38">
        <f t="shared" ca="1" si="7"/>
        <v>0</v>
      </c>
      <c r="Q40" s="4" t="str">
        <f t="shared" ca="1" si="2"/>
        <v>WARNING</v>
      </c>
      <c r="R40" s="30" t="str" cm="1">
        <f t="array" aca="1" ref="R40" ca="1">_xlfn.IFS(Q40="EXPIRED", "WRITE-OFF", Q40="WARNING", "FlASH SALE ", Q40="CRITICAL", "FEFO PRIORITY", Q40="SAFE", "REGULAR SALES")</f>
        <v xml:space="preserve">FlASH SALE </v>
      </c>
    </row>
    <row r="41" spans="1:18" x14ac:dyDescent="0.25">
      <c r="A41" s="8" t="s">
        <v>64</v>
      </c>
      <c r="B41" s="8" t="s">
        <v>8</v>
      </c>
      <c r="C41" s="9" t="s">
        <v>9</v>
      </c>
      <c r="D41" s="24" t="s">
        <v>10</v>
      </c>
      <c r="E41" s="19">
        <v>45955</v>
      </c>
      <c r="F41" s="19">
        <v>46581</v>
      </c>
      <c r="G41" s="10">
        <v>200</v>
      </c>
      <c r="H41" s="6">
        <f>SUMIF(Analysis_FEFO!$E$5:$E$174, A41, Analysis_FEFO!$G$5:$G$174)</f>
        <v>0</v>
      </c>
      <c r="I41" s="6">
        <f t="shared" si="3"/>
        <v>200</v>
      </c>
      <c r="J41" s="11">
        <v>32000</v>
      </c>
      <c r="K41" s="11">
        <f t="shared" si="0"/>
        <v>6400000</v>
      </c>
      <c r="L41" s="7">
        <f t="shared" si="4"/>
        <v>0</v>
      </c>
      <c r="M41" s="48">
        <f t="shared" ca="1" si="1"/>
        <v>259</v>
      </c>
      <c r="N41" s="6" t="str">
        <f t="shared" ca="1" si="5"/>
        <v>SAFE</v>
      </c>
      <c r="O41" s="29">
        <f t="shared" si="6"/>
        <v>6400000</v>
      </c>
      <c r="P41" s="38">
        <f t="shared" ca="1" si="7"/>
        <v>0</v>
      </c>
      <c r="Q41" s="8" t="str">
        <f t="shared" ca="1" si="2"/>
        <v>SAFE</v>
      </c>
      <c r="R41" s="30" t="str" cm="1">
        <f t="array" aca="1" ref="R41" ca="1">_xlfn.IFS(Q41="EXPIRED", "WRITE-OFF", Q41="WARNING", "FlASH SALE ", Q41="CRITICAL", "FEFO PRIORITY", Q41="SAFE", "REGULAR SALES")</f>
        <v>REGULAR SALES</v>
      </c>
    </row>
    <row r="42" spans="1:18" x14ac:dyDescent="0.25">
      <c r="A42" s="4" t="s">
        <v>65</v>
      </c>
      <c r="B42" s="4" t="s">
        <v>29</v>
      </c>
      <c r="C42" s="5" t="s">
        <v>30</v>
      </c>
      <c r="D42" s="23" t="s">
        <v>10</v>
      </c>
      <c r="E42" s="18">
        <v>45936</v>
      </c>
      <c r="F42" s="18">
        <v>46653</v>
      </c>
      <c r="G42" s="6">
        <v>200</v>
      </c>
      <c r="H42" s="6">
        <f>SUMIF(Analysis_FEFO!$E$5:$E$174, A42, Analysis_FEFO!$G$5:$G$174)</f>
        <v>0</v>
      </c>
      <c r="I42" s="6">
        <f t="shared" si="3"/>
        <v>200</v>
      </c>
      <c r="J42" s="7">
        <v>28000</v>
      </c>
      <c r="K42" s="7">
        <f t="shared" si="0"/>
        <v>5600000</v>
      </c>
      <c r="L42" s="7">
        <f t="shared" si="4"/>
        <v>0</v>
      </c>
      <c r="M42" s="48">
        <f t="shared" ca="1" si="1"/>
        <v>331</v>
      </c>
      <c r="N42" s="6" t="str">
        <f t="shared" ca="1" si="5"/>
        <v>SAFE</v>
      </c>
      <c r="O42" s="29">
        <f t="shared" si="6"/>
        <v>5600000</v>
      </c>
      <c r="P42" s="38">
        <f t="shared" ca="1" si="7"/>
        <v>0</v>
      </c>
      <c r="Q42" s="4" t="str">
        <f t="shared" ca="1" si="2"/>
        <v>SAFE</v>
      </c>
      <c r="R42" s="30" t="str" cm="1">
        <f t="array" aca="1" ref="R42" ca="1">_xlfn.IFS(Q42="EXPIRED", "WRITE-OFF", Q42="WARNING", "FlASH SALE ", Q42="CRITICAL", "FEFO PRIORITY", Q42="SAFE", "REGULAR SALES")</f>
        <v>REGULAR SALES</v>
      </c>
    </row>
    <row r="43" spans="1:18" x14ac:dyDescent="0.25">
      <c r="A43" s="8" t="s">
        <v>66</v>
      </c>
      <c r="B43" s="8" t="s">
        <v>45</v>
      </c>
      <c r="C43" s="9" t="s">
        <v>46</v>
      </c>
      <c r="D43" s="24" t="s">
        <v>14</v>
      </c>
      <c r="E43" s="19">
        <v>45959</v>
      </c>
      <c r="F43" s="19">
        <v>46313</v>
      </c>
      <c r="G43" s="10">
        <v>200</v>
      </c>
      <c r="H43" s="6">
        <f>SUMIF(Analysis_FEFO!$E$5:$E$174, A43, Analysis_FEFO!$G$5:$G$174)</f>
        <v>0</v>
      </c>
      <c r="I43" s="6">
        <f t="shared" si="3"/>
        <v>200</v>
      </c>
      <c r="J43" s="11">
        <v>96000</v>
      </c>
      <c r="K43" s="11">
        <f t="shared" si="0"/>
        <v>19200000</v>
      </c>
      <c r="L43" s="7">
        <f t="shared" si="4"/>
        <v>0</v>
      </c>
      <c r="M43" s="48">
        <f t="shared" ca="1" si="1"/>
        <v>-9</v>
      </c>
      <c r="N43" s="6" t="str">
        <f t="shared" ca="1" si="5"/>
        <v>EXPIRED</v>
      </c>
      <c r="O43" s="29">
        <f t="shared" si="6"/>
        <v>19200000</v>
      </c>
      <c r="P43" s="38">
        <f t="shared" ca="1" si="7"/>
        <v>19200000</v>
      </c>
      <c r="Q43" s="8" t="str">
        <f t="shared" ca="1" si="2"/>
        <v>EXPIRED</v>
      </c>
      <c r="R43" s="30" t="str" cm="1">
        <f t="array" aca="1" ref="R43" ca="1">_xlfn.IFS(Q43="EXPIRED", "WRITE-OFF", Q43="WARNING", "FlASH SALE ", Q43="CRITICAL", "FEFO PRIORITY", Q43="SAFE", "REGULAR SALES")</f>
        <v>WRITE-OFF</v>
      </c>
    </row>
    <row r="44" spans="1:18" x14ac:dyDescent="0.25">
      <c r="A44" s="4" t="s">
        <v>67</v>
      </c>
      <c r="B44" s="4" t="s">
        <v>33</v>
      </c>
      <c r="C44" s="5" t="s">
        <v>34</v>
      </c>
      <c r="D44" s="23" t="s">
        <v>35</v>
      </c>
      <c r="E44" s="18">
        <v>45920</v>
      </c>
      <c r="F44" s="18">
        <v>46292</v>
      </c>
      <c r="G44" s="6">
        <v>200</v>
      </c>
      <c r="H44" s="6">
        <f>SUMIF(Analysis_FEFO!$E$5:$E$174, A44, Analysis_FEFO!$G$5:$G$174)</f>
        <v>0</v>
      </c>
      <c r="I44" s="6">
        <f t="shared" si="3"/>
        <v>200</v>
      </c>
      <c r="J44" s="7">
        <v>52000</v>
      </c>
      <c r="K44" s="7">
        <f t="shared" si="0"/>
        <v>10400000</v>
      </c>
      <c r="L44" s="7">
        <f t="shared" si="4"/>
        <v>0</v>
      </c>
      <c r="M44" s="48">
        <f t="shared" ca="1" si="1"/>
        <v>-30</v>
      </c>
      <c r="N44" s="6" t="str">
        <f t="shared" ca="1" si="5"/>
        <v>EXPIRED</v>
      </c>
      <c r="O44" s="29">
        <f t="shared" si="6"/>
        <v>10400000</v>
      </c>
      <c r="P44" s="38">
        <f t="shared" ca="1" si="7"/>
        <v>10400000</v>
      </c>
      <c r="Q44" s="4" t="str">
        <f t="shared" ca="1" si="2"/>
        <v>EXPIRED</v>
      </c>
      <c r="R44" s="30" t="str" cm="1">
        <f t="array" aca="1" ref="R44" ca="1">_xlfn.IFS(Q44="EXPIRED", "WRITE-OFF", Q44="WARNING", "FlASH SALE ", Q44="CRITICAL", "FEFO PRIORITY", Q44="SAFE", "REGULAR SALES")</f>
        <v>WRITE-OFF</v>
      </c>
    </row>
    <row r="45" spans="1:18" x14ac:dyDescent="0.25">
      <c r="A45" s="8" t="s">
        <v>68</v>
      </c>
      <c r="B45" s="8" t="s">
        <v>16</v>
      </c>
      <c r="C45" s="9" t="s">
        <v>17</v>
      </c>
      <c r="D45" s="24" t="s">
        <v>6</v>
      </c>
      <c r="E45" s="19">
        <v>45845</v>
      </c>
      <c r="F45" s="19">
        <v>46392</v>
      </c>
      <c r="G45" s="10">
        <v>250</v>
      </c>
      <c r="H45" s="6">
        <f>SUMIF(Analysis_FEFO!$E$5:$E$174, A45, Analysis_FEFO!$G$5:$G$174)</f>
        <v>0</v>
      </c>
      <c r="I45" s="6">
        <f t="shared" si="3"/>
        <v>250</v>
      </c>
      <c r="J45" s="11">
        <v>62000</v>
      </c>
      <c r="K45" s="11">
        <f t="shared" si="0"/>
        <v>15500000</v>
      </c>
      <c r="L45" s="7">
        <f t="shared" si="4"/>
        <v>0</v>
      </c>
      <c r="M45" s="48">
        <f t="shared" ca="1" si="1"/>
        <v>70</v>
      </c>
      <c r="N45" s="6" t="str">
        <f t="shared" ca="1" si="5"/>
        <v>SAFE</v>
      </c>
      <c r="O45" s="29">
        <f t="shared" si="6"/>
        <v>15500000</v>
      </c>
      <c r="P45" s="38">
        <f t="shared" ca="1" si="7"/>
        <v>0</v>
      </c>
      <c r="Q45" s="8" t="str">
        <f t="shared" ca="1" si="2"/>
        <v>WARNING</v>
      </c>
      <c r="R45" s="30" t="str" cm="1">
        <f t="array" aca="1" ref="R45" ca="1">_xlfn.IFS(Q45="EXPIRED", "WRITE-OFF", Q45="WARNING", "FlASH SALE ", Q45="CRITICAL", "FEFO PRIORITY", Q45="SAFE", "REGULAR SALES")</f>
        <v xml:space="preserve">FlASH SALE </v>
      </c>
    </row>
    <row r="46" spans="1:18" x14ac:dyDescent="0.25">
      <c r="A46" s="4" t="s">
        <v>69</v>
      </c>
      <c r="B46" s="4" t="s">
        <v>8</v>
      </c>
      <c r="C46" s="5" t="s">
        <v>9</v>
      </c>
      <c r="D46" s="23" t="s">
        <v>10</v>
      </c>
      <c r="E46" s="18">
        <v>46016</v>
      </c>
      <c r="F46" s="18">
        <v>46564</v>
      </c>
      <c r="G46" s="6">
        <v>250</v>
      </c>
      <c r="H46" s="6">
        <f>SUMIF(Analysis_FEFO!$E$5:$E$174, A46, Analysis_FEFO!$G$5:$G$174)</f>
        <v>0</v>
      </c>
      <c r="I46" s="6">
        <f t="shared" si="3"/>
        <v>250</v>
      </c>
      <c r="J46" s="7">
        <v>32000</v>
      </c>
      <c r="K46" s="7">
        <f t="shared" si="0"/>
        <v>8000000</v>
      </c>
      <c r="L46" s="7">
        <f t="shared" si="4"/>
        <v>0</v>
      </c>
      <c r="M46" s="48">
        <f t="shared" ca="1" si="1"/>
        <v>242</v>
      </c>
      <c r="N46" s="6" t="str">
        <f t="shared" ca="1" si="5"/>
        <v>SAFE</v>
      </c>
      <c r="O46" s="29">
        <f t="shared" si="6"/>
        <v>8000000</v>
      </c>
      <c r="P46" s="38">
        <f t="shared" ca="1" si="7"/>
        <v>0</v>
      </c>
      <c r="Q46" s="4" t="str">
        <f t="shared" ca="1" si="2"/>
        <v>SAFE</v>
      </c>
      <c r="R46" s="30" t="str" cm="1">
        <f t="array" aca="1" ref="R46" ca="1">_xlfn.IFS(Q46="EXPIRED", "WRITE-OFF", Q46="WARNING", "FlASH SALE ", Q46="CRITICAL", "FEFO PRIORITY", Q46="SAFE", "REGULAR SALES")</f>
        <v>REGULAR SALES</v>
      </c>
    </row>
    <row r="47" spans="1:18" x14ac:dyDescent="0.25">
      <c r="A47" s="8" t="s">
        <v>70</v>
      </c>
      <c r="B47" s="8" t="s">
        <v>29</v>
      </c>
      <c r="C47" s="9" t="s">
        <v>30</v>
      </c>
      <c r="D47" s="24" t="s">
        <v>10</v>
      </c>
      <c r="E47" s="19">
        <v>45924</v>
      </c>
      <c r="F47" s="19">
        <v>46431</v>
      </c>
      <c r="G47" s="10">
        <v>500</v>
      </c>
      <c r="H47" s="6">
        <f>SUMIF(Analysis_FEFO!$E$5:$E$174, A47, Analysis_FEFO!$G$5:$G$174)</f>
        <v>500</v>
      </c>
      <c r="I47" s="6">
        <f t="shared" si="3"/>
        <v>0</v>
      </c>
      <c r="J47" s="11">
        <v>28000</v>
      </c>
      <c r="K47" s="11">
        <f t="shared" si="0"/>
        <v>14000000</v>
      </c>
      <c r="L47" s="7">
        <f t="shared" si="4"/>
        <v>14000000</v>
      </c>
      <c r="M47" s="48">
        <f t="shared" ca="1" si="1"/>
        <v>109</v>
      </c>
      <c r="N47" s="6" t="str">
        <f t="shared" ca="1" si="5"/>
        <v>SAFE</v>
      </c>
      <c r="O47" s="29">
        <f t="shared" si="6"/>
        <v>0</v>
      </c>
      <c r="P47" s="38">
        <f t="shared" ca="1" si="7"/>
        <v>0</v>
      </c>
      <c r="Q47" s="8" t="str">
        <f t="shared" ca="1" si="2"/>
        <v>WARNING</v>
      </c>
      <c r="R47" s="30" t="str" cm="1">
        <f t="array" aca="1" ref="R47" ca="1">_xlfn.IFS(Q47="EXPIRED", "WRITE-OFF", Q47="WARNING", "FlASH SALE ", Q47="CRITICAL", "FEFO PRIORITY", Q47="SAFE", "REGULAR SALES")</f>
        <v xml:space="preserve">FlASH SALE </v>
      </c>
    </row>
    <row r="48" spans="1:18" x14ac:dyDescent="0.25">
      <c r="A48" s="4" t="s">
        <v>71</v>
      </c>
      <c r="B48" s="4" t="s">
        <v>8</v>
      </c>
      <c r="C48" s="5" t="s">
        <v>9</v>
      </c>
      <c r="D48" s="23" t="s">
        <v>10</v>
      </c>
      <c r="E48" s="18">
        <v>45920</v>
      </c>
      <c r="F48" s="18">
        <v>46422</v>
      </c>
      <c r="G48" s="6">
        <v>1000</v>
      </c>
      <c r="H48" s="6">
        <f>SUMIF(Analysis_FEFO!$E$5:$E$174, A48, Analysis_FEFO!$G$5:$G$174)</f>
        <v>1000</v>
      </c>
      <c r="I48" s="6">
        <f t="shared" si="3"/>
        <v>0</v>
      </c>
      <c r="J48" s="7">
        <v>33000</v>
      </c>
      <c r="K48" s="7">
        <f t="shared" si="0"/>
        <v>33000000</v>
      </c>
      <c r="L48" s="7">
        <f t="shared" si="4"/>
        <v>33000000</v>
      </c>
      <c r="M48" s="48">
        <f t="shared" ca="1" si="1"/>
        <v>100</v>
      </c>
      <c r="N48" s="6" t="str">
        <f t="shared" ca="1" si="5"/>
        <v>SAFE</v>
      </c>
      <c r="O48" s="29">
        <f t="shared" si="6"/>
        <v>0</v>
      </c>
      <c r="P48" s="38">
        <f t="shared" ca="1" si="7"/>
        <v>0</v>
      </c>
      <c r="Q48" s="4" t="str">
        <f t="shared" ca="1" si="2"/>
        <v>WARNING</v>
      </c>
      <c r="R48" s="30" t="str" cm="1">
        <f t="array" aca="1" ref="R48" ca="1">_xlfn.IFS(Q48="EXPIRED", "WRITE-OFF", Q48="WARNING", "FlASH SALE ", Q48="CRITICAL", "FEFO PRIORITY", Q48="SAFE", "REGULAR SALES")</f>
        <v xml:space="preserve">FlASH SALE </v>
      </c>
    </row>
    <row r="49" spans="1:18" x14ac:dyDescent="0.25">
      <c r="A49" s="8" t="s">
        <v>72</v>
      </c>
      <c r="B49" s="8" t="s">
        <v>25</v>
      </c>
      <c r="C49" s="9" t="s">
        <v>26</v>
      </c>
      <c r="D49" s="24" t="s">
        <v>27</v>
      </c>
      <c r="E49" s="19">
        <v>46002</v>
      </c>
      <c r="F49" s="19">
        <v>46362</v>
      </c>
      <c r="G49" s="10">
        <v>1000</v>
      </c>
      <c r="H49" s="6">
        <f>SUMIF(Analysis_FEFO!$E$5:$E$174, A49, Analysis_FEFO!$G$5:$G$174)</f>
        <v>0</v>
      </c>
      <c r="I49" s="6">
        <f t="shared" si="3"/>
        <v>1000</v>
      </c>
      <c r="J49" s="11">
        <v>58000</v>
      </c>
      <c r="K49" s="11">
        <f t="shared" si="0"/>
        <v>58000000</v>
      </c>
      <c r="L49" s="7">
        <f t="shared" si="4"/>
        <v>0</v>
      </c>
      <c r="M49" s="48">
        <f t="shared" ca="1" si="1"/>
        <v>40</v>
      </c>
      <c r="N49" s="6" t="str">
        <f t="shared" ca="1" si="5"/>
        <v>SAFE</v>
      </c>
      <c r="O49" s="29">
        <f t="shared" si="6"/>
        <v>58000000</v>
      </c>
      <c r="P49" s="38">
        <f t="shared" ca="1" si="7"/>
        <v>58000000</v>
      </c>
      <c r="Q49" s="8" t="str">
        <f t="shared" ca="1" si="2"/>
        <v>CRITICAL</v>
      </c>
      <c r="R49" s="30" t="str" cm="1">
        <f t="array" aca="1" ref="R49" ca="1">_xlfn.IFS(Q49="EXPIRED", "WRITE-OFF", Q49="WARNING", "FlASH SALE ", Q49="CRITICAL", "FEFO PRIORITY", Q49="SAFE", "REGULAR SALES")</f>
        <v>FEFO PRIORITY</v>
      </c>
    </row>
    <row r="50" spans="1:18" x14ac:dyDescent="0.25">
      <c r="A50" s="4" t="s">
        <v>73</v>
      </c>
      <c r="B50" s="4" t="s">
        <v>19</v>
      </c>
      <c r="C50" s="5" t="s">
        <v>20</v>
      </c>
      <c r="D50" s="23" t="s">
        <v>21</v>
      </c>
      <c r="E50" s="18">
        <v>45876</v>
      </c>
      <c r="F50" s="18">
        <v>46426</v>
      </c>
      <c r="G50" s="6">
        <v>200</v>
      </c>
      <c r="H50" s="6">
        <f>SUMIF(Analysis_FEFO!$E$5:$E$174, A50, Analysis_FEFO!$G$5:$G$174)</f>
        <v>200</v>
      </c>
      <c r="I50" s="6">
        <f t="shared" si="3"/>
        <v>0</v>
      </c>
      <c r="J50" s="7">
        <v>52000</v>
      </c>
      <c r="K50" s="7">
        <f t="shared" si="0"/>
        <v>10400000</v>
      </c>
      <c r="L50" s="7">
        <f t="shared" si="4"/>
        <v>10400000</v>
      </c>
      <c r="M50" s="48">
        <f t="shared" ca="1" si="1"/>
        <v>104</v>
      </c>
      <c r="N50" s="6" t="str">
        <f t="shared" ca="1" si="5"/>
        <v>SAFE</v>
      </c>
      <c r="O50" s="29">
        <f t="shared" si="6"/>
        <v>0</v>
      </c>
      <c r="P50" s="38">
        <f t="shared" ca="1" si="7"/>
        <v>0</v>
      </c>
      <c r="Q50" s="4" t="str">
        <f t="shared" ca="1" si="2"/>
        <v>WARNING</v>
      </c>
      <c r="R50" s="30" t="str" cm="1">
        <f t="array" aca="1" ref="R50" ca="1">_xlfn.IFS(Q50="EXPIRED", "WRITE-OFF", Q50="WARNING", "FlASH SALE ", Q50="CRITICAL", "FEFO PRIORITY", Q50="SAFE", "REGULAR SALES")</f>
        <v xml:space="preserve">FlASH SALE </v>
      </c>
    </row>
    <row r="51" spans="1:18" x14ac:dyDescent="0.25">
      <c r="A51" s="8" t="s">
        <v>74</v>
      </c>
      <c r="B51" s="8" t="s">
        <v>29</v>
      </c>
      <c r="C51" s="9" t="s">
        <v>30</v>
      </c>
      <c r="D51" s="24" t="s">
        <v>10</v>
      </c>
      <c r="E51" s="19">
        <v>45943</v>
      </c>
      <c r="F51" s="19">
        <v>46653</v>
      </c>
      <c r="G51" s="10">
        <v>300</v>
      </c>
      <c r="H51" s="6">
        <f>SUMIF(Analysis_FEFO!$E$5:$E$174, A51, Analysis_FEFO!$G$5:$G$174)</f>
        <v>0</v>
      </c>
      <c r="I51" s="6">
        <f t="shared" si="3"/>
        <v>300</v>
      </c>
      <c r="J51" s="11">
        <v>27000</v>
      </c>
      <c r="K51" s="11">
        <f t="shared" si="0"/>
        <v>8100000</v>
      </c>
      <c r="L51" s="7">
        <f t="shared" si="4"/>
        <v>0</v>
      </c>
      <c r="M51" s="48">
        <f t="shared" ca="1" si="1"/>
        <v>331</v>
      </c>
      <c r="N51" s="6" t="str">
        <f t="shared" ca="1" si="5"/>
        <v>SAFE</v>
      </c>
      <c r="O51" s="29">
        <f t="shared" si="6"/>
        <v>8100000</v>
      </c>
      <c r="P51" s="38">
        <f t="shared" ca="1" si="7"/>
        <v>0</v>
      </c>
      <c r="Q51" s="8" t="str">
        <f t="shared" ca="1" si="2"/>
        <v>SAFE</v>
      </c>
      <c r="R51" s="30" t="str" cm="1">
        <f t="array" aca="1" ref="R51" ca="1">_xlfn.IFS(Q51="EXPIRED", "WRITE-OFF", Q51="WARNING", "FlASH SALE ", Q51="CRITICAL", "FEFO PRIORITY", Q51="SAFE", "REGULAR SALES")</f>
        <v>REGULAR SALES</v>
      </c>
    </row>
    <row r="52" spans="1:18" x14ac:dyDescent="0.25">
      <c r="A52" s="4" t="s">
        <v>75</v>
      </c>
      <c r="B52" s="4" t="s">
        <v>8</v>
      </c>
      <c r="C52" s="5" t="s">
        <v>9</v>
      </c>
      <c r="D52" s="23" t="s">
        <v>10</v>
      </c>
      <c r="E52" s="18">
        <v>45830</v>
      </c>
      <c r="F52" s="18">
        <v>46365</v>
      </c>
      <c r="G52" s="6">
        <v>1000</v>
      </c>
      <c r="H52" s="6">
        <f>SUMIF(Analysis_FEFO!$E$5:$E$174, A52, Analysis_FEFO!$G$5:$G$174)</f>
        <v>1000</v>
      </c>
      <c r="I52" s="6">
        <f t="shared" si="3"/>
        <v>0</v>
      </c>
      <c r="J52" s="7">
        <v>34000</v>
      </c>
      <c r="K52" s="7">
        <f t="shared" si="0"/>
        <v>34000000</v>
      </c>
      <c r="L52" s="7">
        <f t="shared" si="4"/>
        <v>34000000</v>
      </c>
      <c r="M52" s="48">
        <f t="shared" ca="1" si="1"/>
        <v>43</v>
      </c>
      <c r="N52" s="6" t="str">
        <f t="shared" ca="1" si="5"/>
        <v>SAFE</v>
      </c>
      <c r="O52" s="29">
        <f t="shared" si="6"/>
        <v>0</v>
      </c>
      <c r="P52" s="38">
        <f t="shared" ca="1" si="7"/>
        <v>0</v>
      </c>
      <c r="Q52" s="4" t="str">
        <f t="shared" ca="1" si="2"/>
        <v>CRITICAL</v>
      </c>
      <c r="R52" s="30" t="str" cm="1">
        <f t="array" aca="1" ref="R52" ca="1">_xlfn.IFS(Q52="EXPIRED", "WRITE-OFF", Q52="WARNING", "FlASH SALE ", Q52="CRITICAL", "FEFO PRIORITY", Q52="SAFE", "REGULAR SALES")</f>
        <v>FEFO PRIORITY</v>
      </c>
    </row>
    <row r="53" spans="1:18" x14ac:dyDescent="0.25">
      <c r="A53" s="8" t="s">
        <v>76</v>
      </c>
      <c r="B53" s="8" t="s">
        <v>12</v>
      </c>
      <c r="C53" s="9" t="s">
        <v>13</v>
      </c>
      <c r="D53" s="24" t="s">
        <v>14</v>
      </c>
      <c r="E53" s="19">
        <v>46072</v>
      </c>
      <c r="F53" s="19">
        <v>46418</v>
      </c>
      <c r="G53" s="10">
        <v>250</v>
      </c>
      <c r="H53" s="6">
        <f>SUMIF(Analysis_FEFO!$E$5:$E$174, A53, Analysis_FEFO!$G$5:$G$174)</f>
        <v>0</v>
      </c>
      <c r="I53" s="6">
        <f t="shared" si="3"/>
        <v>250</v>
      </c>
      <c r="J53" s="11">
        <v>28000</v>
      </c>
      <c r="K53" s="11">
        <f t="shared" si="0"/>
        <v>7000000</v>
      </c>
      <c r="L53" s="7">
        <f t="shared" si="4"/>
        <v>0</v>
      </c>
      <c r="M53" s="48">
        <f t="shared" ca="1" si="1"/>
        <v>96</v>
      </c>
      <c r="N53" s="6" t="str">
        <f t="shared" ca="1" si="5"/>
        <v>SAFE</v>
      </c>
      <c r="O53" s="29">
        <f t="shared" si="6"/>
        <v>7000000</v>
      </c>
      <c r="P53" s="38">
        <f t="shared" ca="1" si="7"/>
        <v>0</v>
      </c>
      <c r="Q53" s="8" t="str">
        <f t="shared" ca="1" si="2"/>
        <v>WARNING</v>
      </c>
      <c r="R53" s="30" t="str" cm="1">
        <f t="array" aca="1" ref="R53" ca="1">_xlfn.IFS(Q53="EXPIRED", "WRITE-OFF", Q53="WARNING", "FlASH SALE ", Q53="CRITICAL", "FEFO PRIORITY", Q53="SAFE", "REGULAR SALES")</f>
        <v xml:space="preserve">FlASH SALE </v>
      </c>
    </row>
    <row r="54" spans="1:18" x14ac:dyDescent="0.25">
      <c r="A54" s="4" t="s">
        <v>77</v>
      </c>
      <c r="B54" s="4" t="s">
        <v>19</v>
      </c>
      <c r="C54" s="5" t="s">
        <v>20</v>
      </c>
      <c r="D54" s="23" t="s">
        <v>21</v>
      </c>
      <c r="E54" s="18">
        <v>45955</v>
      </c>
      <c r="F54" s="18">
        <v>46316</v>
      </c>
      <c r="G54" s="6">
        <v>100</v>
      </c>
      <c r="H54" s="6">
        <f>SUMIF(Analysis_FEFO!$E$5:$E$174, A54, Analysis_FEFO!$G$5:$G$174)</f>
        <v>0</v>
      </c>
      <c r="I54" s="6">
        <f t="shared" si="3"/>
        <v>100</v>
      </c>
      <c r="J54" s="7">
        <v>48000</v>
      </c>
      <c r="K54" s="7">
        <f t="shared" si="0"/>
        <v>4800000</v>
      </c>
      <c r="L54" s="7">
        <f t="shared" si="4"/>
        <v>0</v>
      </c>
      <c r="M54" s="48">
        <f t="shared" ca="1" si="1"/>
        <v>-6</v>
      </c>
      <c r="N54" s="6" t="str">
        <f t="shared" ca="1" si="5"/>
        <v>EXPIRED</v>
      </c>
      <c r="O54" s="29">
        <f t="shared" si="6"/>
        <v>4800000</v>
      </c>
      <c r="P54" s="38">
        <f t="shared" ca="1" si="7"/>
        <v>4800000</v>
      </c>
      <c r="Q54" s="4" t="str">
        <f t="shared" ca="1" si="2"/>
        <v>EXPIRED</v>
      </c>
      <c r="R54" s="30" t="str" cm="1">
        <f t="array" aca="1" ref="R54" ca="1">_xlfn.IFS(Q54="EXPIRED", "WRITE-OFF", Q54="WARNING", "FlASH SALE ", Q54="CRITICAL", "FEFO PRIORITY", Q54="SAFE", "REGULAR SALES")</f>
        <v>WRITE-OFF</v>
      </c>
    </row>
    <row r="55" spans="1:18" x14ac:dyDescent="0.25">
      <c r="A55" s="8" t="s">
        <v>78</v>
      </c>
      <c r="B55" s="8" t="s">
        <v>16</v>
      </c>
      <c r="C55" s="9" t="s">
        <v>17</v>
      </c>
      <c r="D55" s="24" t="s">
        <v>6</v>
      </c>
      <c r="E55" s="19">
        <v>45814</v>
      </c>
      <c r="F55" s="19">
        <v>46442</v>
      </c>
      <c r="G55" s="10">
        <v>1000</v>
      </c>
      <c r="H55" s="6">
        <f>SUMIF(Analysis_FEFO!$E$5:$E$174, A55, Analysis_FEFO!$G$5:$G$174)</f>
        <v>1000</v>
      </c>
      <c r="I55" s="6">
        <f t="shared" si="3"/>
        <v>0</v>
      </c>
      <c r="J55" s="11">
        <v>72000</v>
      </c>
      <c r="K55" s="11">
        <f t="shared" si="0"/>
        <v>72000000</v>
      </c>
      <c r="L55" s="7">
        <f t="shared" si="4"/>
        <v>72000000</v>
      </c>
      <c r="M55" s="48">
        <f t="shared" ca="1" si="1"/>
        <v>120</v>
      </c>
      <c r="N55" s="6" t="str">
        <f t="shared" ca="1" si="5"/>
        <v>SAFE</v>
      </c>
      <c r="O55" s="29">
        <f t="shared" si="6"/>
        <v>0</v>
      </c>
      <c r="P55" s="38">
        <f t="shared" ca="1" si="7"/>
        <v>0</v>
      </c>
      <c r="Q55" s="8" t="str">
        <f t="shared" ca="1" si="2"/>
        <v>WARNING</v>
      </c>
      <c r="R55" s="30" t="str" cm="1">
        <f t="array" aca="1" ref="R55" ca="1">_xlfn.IFS(Q55="EXPIRED", "WRITE-OFF", Q55="WARNING", "FlASH SALE ", Q55="CRITICAL", "FEFO PRIORITY", Q55="SAFE", "REGULAR SALES")</f>
        <v xml:space="preserve">FlASH SALE </v>
      </c>
    </row>
    <row r="56" spans="1:18" x14ac:dyDescent="0.25">
      <c r="A56" s="4" t="s">
        <v>79</v>
      </c>
      <c r="B56" s="4" t="s">
        <v>19</v>
      </c>
      <c r="C56" s="5" t="s">
        <v>20</v>
      </c>
      <c r="D56" s="23" t="s">
        <v>21</v>
      </c>
      <c r="E56" s="18">
        <v>46110</v>
      </c>
      <c r="F56" s="18">
        <v>46817</v>
      </c>
      <c r="G56" s="6">
        <v>1000</v>
      </c>
      <c r="H56" s="6">
        <f>SUMIF(Analysis_FEFO!$E$5:$E$174, A56, Analysis_FEFO!$G$5:$G$174)</f>
        <v>0</v>
      </c>
      <c r="I56" s="6">
        <f t="shared" si="3"/>
        <v>1000</v>
      </c>
      <c r="J56" s="7">
        <v>48000</v>
      </c>
      <c r="K56" s="7">
        <f t="shared" si="0"/>
        <v>48000000</v>
      </c>
      <c r="L56" s="7">
        <f t="shared" si="4"/>
        <v>0</v>
      </c>
      <c r="M56" s="48">
        <f t="shared" ca="1" si="1"/>
        <v>495</v>
      </c>
      <c r="N56" s="6" t="str">
        <f t="shared" ca="1" si="5"/>
        <v>SAFE</v>
      </c>
      <c r="O56" s="29">
        <f t="shared" si="6"/>
        <v>48000000</v>
      </c>
      <c r="P56" s="38">
        <f t="shared" ca="1" si="7"/>
        <v>0</v>
      </c>
      <c r="Q56" s="4" t="str">
        <f t="shared" ca="1" si="2"/>
        <v>SAFE</v>
      </c>
      <c r="R56" s="30" t="str" cm="1">
        <f t="array" aca="1" ref="R56" ca="1">_xlfn.IFS(Q56="EXPIRED", "WRITE-OFF", Q56="WARNING", "FlASH SALE ", Q56="CRITICAL", "FEFO PRIORITY", Q56="SAFE", "REGULAR SALES")</f>
        <v>REGULAR SALES</v>
      </c>
    </row>
    <row r="57" spans="1:18" x14ac:dyDescent="0.25">
      <c r="A57" s="8" t="s">
        <v>80</v>
      </c>
      <c r="B57" s="8" t="s">
        <v>16</v>
      </c>
      <c r="C57" s="9" t="s">
        <v>17</v>
      </c>
      <c r="D57" s="24" t="s">
        <v>6</v>
      </c>
      <c r="E57" s="19">
        <v>45969</v>
      </c>
      <c r="F57" s="19">
        <v>46606</v>
      </c>
      <c r="G57" s="10">
        <v>300</v>
      </c>
      <c r="H57" s="6">
        <f>SUMIF(Analysis_FEFO!$E$5:$E$174, A57, Analysis_FEFO!$G$5:$G$174)</f>
        <v>0</v>
      </c>
      <c r="I57" s="6">
        <f t="shared" si="3"/>
        <v>300</v>
      </c>
      <c r="J57" s="11">
        <v>65000</v>
      </c>
      <c r="K57" s="11">
        <f t="shared" si="0"/>
        <v>19500000</v>
      </c>
      <c r="L57" s="7">
        <f t="shared" si="4"/>
        <v>0</v>
      </c>
      <c r="M57" s="48">
        <f t="shared" ca="1" si="1"/>
        <v>284</v>
      </c>
      <c r="N57" s="6" t="str">
        <f t="shared" ca="1" si="5"/>
        <v>SAFE</v>
      </c>
      <c r="O57" s="29">
        <f t="shared" si="6"/>
        <v>19500000</v>
      </c>
      <c r="P57" s="38">
        <f t="shared" ca="1" si="7"/>
        <v>0</v>
      </c>
      <c r="Q57" s="8" t="str">
        <f t="shared" ca="1" si="2"/>
        <v>SAFE</v>
      </c>
      <c r="R57" s="30" t="str" cm="1">
        <f t="array" aca="1" ref="R57" ca="1">_xlfn.IFS(Q57="EXPIRED", "WRITE-OFF", Q57="WARNING", "FlASH SALE ", Q57="CRITICAL", "FEFO PRIORITY", Q57="SAFE", "REGULAR SALES")</f>
        <v>REGULAR SALES</v>
      </c>
    </row>
    <row r="58" spans="1:18" x14ac:dyDescent="0.25">
      <c r="A58" s="4" t="s">
        <v>81</v>
      </c>
      <c r="B58" s="4" t="s">
        <v>33</v>
      </c>
      <c r="C58" s="5" t="s">
        <v>34</v>
      </c>
      <c r="D58" s="23" t="s">
        <v>35</v>
      </c>
      <c r="E58" s="18">
        <v>45982</v>
      </c>
      <c r="F58" s="18">
        <v>46496</v>
      </c>
      <c r="G58" s="6">
        <v>1000</v>
      </c>
      <c r="H58" s="6">
        <f>SUMIF(Analysis_FEFO!$E$5:$E$174, A58, Analysis_FEFO!$G$5:$G$174)</f>
        <v>0</v>
      </c>
      <c r="I58" s="6">
        <f t="shared" si="3"/>
        <v>1000</v>
      </c>
      <c r="J58" s="7">
        <v>53000</v>
      </c>
      <c r="K58" s="7">
        <f t="shared" si="0"/>
        <v>53000000</v>
      </c>
      <c r="L58" s="7">
        <f t="shared" si="4"/>
        <v>0</v>
      </c>
      <c r="M58" s="48">
        <f t="shared" ca="1" si="1"/>
        <v>174</v>
      </c>
      <c r="N58" s="6" t="str">
        <f t="shared" ca="1" si="5"/>
        <v>SAFE</v>
      </c>
      <c r="O58" s="29">
        <f t="shared" si="6"/>
        <v>53000000</v>
      </c>
      <c r="P58" s="38">
        <f t="shared" ca="1" si="7"/>
        <v>0</v>
      </c>
      <c r="Q58" s="4" t="str">
        <f t="shared" ca="1" si="2"/>
        <v>WARNING</v>
      </c>
      <c r="R58" s="30" t="str" cm="1">
        <f t="array" aca="1" ref="R58" ca="1">_xlfn.IFS(Q58="EXPIRED", "WRITE-OFF", Q58="WARNING", "FlASH SALE ", Q58="CRITICAL", "FEFO PRIORITY", Q58="SAFE", "REGULAR SALES")</f>
        <v xml:space="preserve">FlASH SALE </v>
      </c>
    </row>
    <row r="59" spans="1:18" x14ac:dyDescent="0.25">
      <c r="A59" s="8" t="s">
        <v>82</v>
      </c>
      <c r="B59" s="8" t="s">
        <v>33</v>
      </c>
      <c r="C59" s="9" t="s">
        <v>34</v>
      </c>
      <c r="D59" s="24" t="s">
        <v>35</v>
      </c>
      <c r="E59" s="19">
        <v>46081</v>
      </c>
      <c r="F59" s="19">
        <v>46614</v>
      </c>
      <c r="G59" s="10">
        <v>500</v>
      </c>
      <c r="H59" s="6">
        <f>SUMIF(Analysis_FEFO!$E$5:$E$174, A59, Analysis_FEFO!$G$5:$G$174)</f>
        <v>0</v>
      </c>
      <c r="I59" s="6">
        <f t="shared" si="3"/>
        <v>500</v>
      </c>
      <c r="J59" s="11">
        <v>58000</v>
      </c>
      <c r="K59" s="11">
        <f t="shared" si="0"/>
        <v>29000000</v>
      </c>
      <c r="L59" s="7">
        <f t="shared" si="4"/>
        <v>0</v>
      </c>
      <c r="M59" s="48">
        <f t="shared" ca="1" si="1"/>
        <v>292</v>
      </c>
      <c r="N59" s="6" t="str">
        <f t="shared" ca="1" si="5"/>
        <v>SAFE</v>
      </c>
      <c r="O59" s="29">
        <f t="shared" si="6"/>
        <v>29000000</v>
      </c>
      <c r="P59" s="38">
        <f t="shared" ca="1" si="7"/>
        <v>0</v>
      </c>
      <c r="Q59" s="8" t="str">
        <f t="shared" ca="1" si="2"/>
        <v>SAFE</v>
      </c>
      <c r="R59" s="30" t="str" cm="1">
        <f t="array" aca="1" ref="R59" ca="1">_xlfn.IFS(Q59="EXPIRED", "WRITE-OFF", Q59="WARNING", "FlASH SALE ", Q59="CRITICAL", "FEFO PRIORITY", Q59="SAFE", "REGULAR SALES")</f>
        <v>REGULAR SALES</v>
      </c>
    </row>
    <row r="60" spans="1:18" x14ac:dyDescent="0.25">
      <c r="A60" s="4" t="s">
        <v>83</v>
      </c>
      <c r="B60" s="4" t="s">
        <v>33</v>
      </c>
      <c r="C60" s="5" t="s">
        <v>34</v>
      </c>
      <c r="D60" s="23" t="s">
        <v>35</v>
      </c>
      <c r="E60" s="18">
        <v>46055</v>
      </c>
      <c r="F60" s="18">
        <v>46327</v>
      </c>
      <c r="G60" s="6">
        <v>750</v>
      </c>
      <c r="H60" s="6">
        <f>SUMIF(Analysis_FEFO!$E$5:$E$174, A60, Analysis_FEFO!$G$5:$G$174)</f>
        <v>0</v>
      </c>
      <c r="I60" s="6">
        <f t="shared" si="3"/>
        <v>750</v>
      </c>
      <c r="J60" s="7">
        <v>61000</v>
      </c>
      <c r="K60" s="7">
        <f t="shared" si="0"/>
        <v>45750000</v>
      </c>
      <c r="L60" s="7">
        <f t="shared" si="4"/>
        <v>0</v>
      </c>
      <c r="M60" s="48">
        <f t="shared" ca="1" si="1"/>
        <v>5</v>
      </c>
      <c r="N60" s="6" t="str">
        <f t="shared" ca="1" si="5"/>
        <v>EXPIRING SOON (&lt;30 DAYS)</v>
      </c>
      <c r="O60" s="29">
        <f t="shared" si="6"/>
        <v>45750000</v>
      </c>
      <c r="P60" s="38">
        <f t="shared" ca="1" si="7"/>
        <v>45750000</v>
      </c>
      <c r="Q60" s="4" t="str">
        <f t="shared" ca="1" si="2"/>
        <v>CRITICAL</v>
      </c>
      <c r="R60" s="30" t="str" cm="1">
        <f t="array" aca="1" ref="R60" ca="1">_xlfn.IFS(Q60="EXPIRED", "WRITE-OFF", Q60="WARNING", "FlASH SALE ", Q60="CRITICAL", "FEFO PRIORITY", Q60="SAFE", "REGULAR SALES")</f>
        <v>FEFO PRIORITY</v>
      </c>
    </row>
    <row r="61" spans="1:18" x14ac:dyDescent="0.25">
      <c r="A61" s="8" t="s">
        <v>84</v>
      </c>
      <c r="B61" s="8" t="s">
        <v>4</v>
      </c>
      <c r="C61" s="9" t="s">
        <v>5</v>
      </c>
      <c r="D61" s="24" t="s">
        <v>6</v>
      </c>
      <c r="E61" s="19">
        <v>45844</v>
      </c>
      <c r="F61" s="19">
        <v>46369</v>
      </c>
      <c r="G61" s="10">
        <v>100</v>
      </c>
      <c r="H61" s="6">
        <f>SUMIF(Analysis_FEFO!$E$5:$E$174, A61, Analysis_FEFO!$G$5:$G$174)</f>
        <v>0</v>
      </c>
      <c r="I61" s="6">
        <f t="shared" si="3"/>
        <v>100</v>
      </c>
      <c r="J61" s="11">
        <v>88000</v>
      </c>
      <c r="K61" s="11">
        <f t="shared" si="0"/>
        <v>8800000</v>
      </c>
      <c r="L61" s="7">
        <f t="shared" si="4"/>
        <v>0</v>
      </c>
      <c r="M61" s="48">
        <f t="shared" ca="1" si="1"/>
        <v>47</v>
      </c>
      <c r="N61" s="6" t="str">
        <f t="shared" ca="1" si="5"/>
        <v>SAFE</v>
      </c>
      <c r="O61" s="29">
        <f t="shared" si="6"/>
        <v>8800000</v>
      </c>
      <c r="P61" s="38">
        <f t="shared" ca="1" si="7"/>
        <v>8800000</v>
      </c>
      <c r="Q61" s="8" t="str">
        <f t="shared" ca="1" si="2"/>
        <v>CRITICAL</v>
      </c>
      <c r="R61" s="30" t="str" cm="1">
        <f t="array" aca="1" ref="R61" ca="1">_xlfn.IFS(Q61="EXPIRED", "WRITE-OFF", Q61="WARNING", "FlASH SALE ", Q61="CRITICAL", "FEFO PRIORITY", Q61="SAFE", "REGULAR SALES")</f>
        <v>FEFO PRIORITY</v>
      </c>
    </row>
    <row r="62" spans="1:18" x14ac:dyDescent="0.25">
      <c r="A62" s="4" t="s">
        <v>85</v>
      </c>
      <c r="B62" s="4" t="s">
        <v>8</v>
      </c>
      <c r="C62" s="5" t="s">
        <v>9</v>
      </c>
      <c r="D62" s="23" t="s">
        <v>10</v>
      </c>
      <c r="E62" s="18">
        <v>45951</v>
      </c>
      <c r="F62" s="18">
        <v>46572</v>
      </c>
      <c r="G62" s="6">
        <v>250</v>
      </c>
      <c r="H62" s="6">
        <f>SUMIF(Analysis_FEFO!$E$5:$E$174, A62, Analysis_FEFO!$G$5:$G$174)</f>
        <v>0</v>
      </c>
      <c r="I62" s="6">
        <f t="shared" si="3"/>
        <v>250</v>
      </c>
      <c r="J62" s="7">
        <v>38000</v>
      </c>
      <c r="K62" s="7">
        <f t="shared" si="0"/>
        <v>9500000</v>
      </c>
      <c r="L62" s="7">
        <f t="shared" si="4"/>
        <v>0</v>
      </c>
      <c r="M62" s="48">
        <f t="shared" ca="1" si="1"/>
        <v>250</v>
      </c>
      <c r="N62" s="6" t="str">
        <f t="shared" ca="1" si="5"/>
        <v>SAFE</v>
      </c>
      <c r="O62" s="29">
        <f t="shared" si="6"/>
        <v>9500000</v>
      </c>
      <c r="P62" s="38">
        <f t="shared" ca="1" si="7"/>
        <v>0</v>
      </c>
      <c r="Q62" s="4" t="str">
        <f t="shared" ca="1" si="2"/>
        <v>SAFE</v>
      </c>
      <c r="R62" s="30" t="str" cm="1">
        <f t="array" aca="1" ref="R62" ca="1">_xlfn.IFS(Q62="EXPIRED", "WRITE-OFF", Q62="WARNING", "FlASH SALE ", Q62="CRITICAL", "FEFO PRIORITY", Q62="SAFE", "REGULAR SALES")</f>
        <v>REGULAR SALES</v>
      </c>
    </row>
    <row r="63" spans="1:18" x14ac:dyDescent="0.25">
      <c r="A63" s="8" t="s">
        <v>86</v>
      </c>
      <c r="B63" s="8" t="s">
        <v>12</v>
      </c>
      <c r="C63" s="9" t="s">
        <v>13</v>
      </c>
      <c r="D63" s="24" t="s">
        <v>14</v>
      </c>
      <c r="E63" s="19">
        <v>45859</v>
      </c>
      <c r="F63" s="19">
        <v>46508</v>
      </c>
      <c r="G63" s="10">
        <v>200</v>
      </c>
      <c r="H63" s="6">
        <f>SUMIF(Analysis_FEFO!$E$5:$E$174, A63, Analysis_FEFO!$G$5:$G$174)</f>
        <v>200</v>
      </c>
      <c r="I63" s="6">
        <f t="shared" si="3"/>
        <v>0</v>
      </c>
      <c r="J63" s="11">
        <v>29000</v>
      </c>
      <c r="K63" s="11">
        <f t="shared" si="0"/>
        <v>5800000</v>
      </c>
      <c r="L63" s="7">
        <f t="shared" si="4"/>
        <v>5800000</v>
      </c>
      <c r="M63" s="48">
        <f t="shared" ca="1" si="1"/>
        <v>186</v>
      </c>
      <c r="N63" s="6" t="str">
        <f t="shared" ca="1" si="5"/>
        <v>SAFE</v>
      </c>
      <c r="O63" s="29">
        <f t="shared" si="6"/>
        <v>0</v>
      </c>
      <c r="P63" s="38">
        <f t="shared" ca="1" si="7"/>
        <v>0</v>
      </c>
      <c r="Q63" s="8" t="str">
        <f t="shared" ca="1" si="2"/>
        <v>SAFE</v>
      </c>
      <c r="R63" s="30" t="str" cm="1">
        <f t="array" aca="1" ref="R63" ca="1">_xlfn.IFS(Q63="EXPIRED", "WRITE-OFF", Q63="WARNING", "FlASH SALE ", Q63="CRITICAL", "FEFO PRIORITY", Q63="SAFE", "REGULAR SALES")</f>
        <v>REGULAR SALES</v>
      </c>
    </row>
    <row r="64" spans="1:18" x14ac:dyDescent="0.25">
      <c r="A64" s="4" t="s">
        <v>87</v>
      </c>
      <c r="B64" s="4" t="s">
        <v>33</v>
      </c>
      <c r="C64" s="5" t="s">
        <v>34</v>
      </c>
      <c r="D64" s="23" t="s">
        <v>35</v>
      </c>
      <c r="E64" s="18">
        <v>45988</v>
      </c>
      <c r="F64" s="18">
        <v>46442</v>
      </c>
      <c r="G64" s="6">
        <v>250</v>
      </c>
      <c r="H64" s="6">
        <f>SUMIF(Analysis_FEFO!$E$5:$E$174, A64, Analysis_FEFO!$G$5:$G$174)</f>
        <v>250</v>
      </c>
      <c r="I64" s="6">
        <f t="shared" si="3"/>
        <v>0</v>
      </c>
      <c r="J64" s="7">
        <v>56000</v>
      </c>
      <c r="K64" s="7">
        <f t="shared" si="0"/>
        <v>14000000</v>
      </c>
      <c r="L64" s="7">
        <f t="shared" si="4"/>
        <v>14000000</v>
      </c>
      <c r="M64" s="48">
        <f t="shared" ca="1" si="1"/>
        <v>120</v>
      </c>
      <c r="N64" s="6" t="str">
        <f t="shared" ca="1" si="5"/>
        <v>SAFE</v>
      </c>
      <c r="O64" s="29">
        <f t="shared" si="6"/>
        <v>0</v>
      </c>
      <c r="P64" s="38">
        <f t="shared" ca="1" si="7"/>
        <v>0</v>
      </c>
      <c r="Q64" s="4" t="str">
        <f t="shared" ca="1" si="2"/>
        <v>WARNING</v>
      </c>
      <c r="R64" s="30" t="str" cm="1">
        <f t="array" aca="1" ref="R64" ca="1">_xlfn.IFS(Q64="EXPIRED", "WRITE-OFF", Q64="WARNING", "FlASH SALE ", Q64="CRITICAL", "FEFO PRIORITY", Q64="SAFE", "REGULAR SALES")</f>
        <v xml:space="preserve">FlASH SALE </v>
      </c>
    </row>
    <row r="65" spans="1:18" x14ac:dyDescent="0.25">
      <c r="A65" s="8" t="s">
        <v>88</v>
      </c>
      <c r="B65" s="8" t="s">
        <v>19</v>
      </c>
      <c r="C65" s="9" t="s">
        <v>20</v>
      </c>
      <c r="D65" s="24" t="s">
        <v>21</v>
      </c>
      <c r="E65" s="19">
        <v>46072</v>
      </c>
      <c r="F65" s="19">
        <v>46608</v>
      </c>
      <c r="G65" s="10">
        <v>1000</v>
      </c>
      <c r="H65" s="6">
        <f>SUMIF(Analysis_FEFO!$E$5:$E$174, A65, Analysis_FEFO!$G$5:$G$174)</f>
        <v>0</v>
      </c>
      <c r="I65" s="6">
        <f t="shared" si="3"/>
        <v>1000</v>
      </c>
      <c r="J65" s="11">
        <v>51000</v>
      </c>
      <c r="K65" s="11">
        <f t="shared" si="0"/>
        <v>51000000</v>
      </c>
      <c r="L65" s="7">
        <f t="shared" si="4"/>
        <v>0</v>
      </c>
      <c r="M65" s="48">
        <f t="shared" ca="1" si="1"/>
        <v>286</v>
      </c>
      <c r="N65" s="6" t="str">
        <f t="shared" ca="1" si="5"/>
        <v>SAFE</v>
      </c>
      <c r="O65" s="29">
        <f t="shared" si="6"/>
        <v>51000000</v>
      </c>
      <c r="P65" s="38">
        <f t="shared" ca="1" si="7"/>
        <v>0</v>
      </c>
      <c r="Q65" s="8" t="str">
        <f t="shared" ca="1" si="2"/>
        <v>SAFE</v>
      </c>
      <c r="R65" s="30" t="str" cm="1">
        <f t="array" aca="1" ref="R65" ca="1">_xlfn.IFS(Q65="EXPIRED", "WRITE-OFF", Q65="WARNING", "FlASH SALE ", Q65="CRITICAL", "FEFO PRIORITY", Q65="SAFE", "REGULAR SALES")</f>
        <v>REGULAR SALES</v>
      </c>
    </row>
    <row r="66" spans="1:18" x14ac:dyDescent="0.25">
      <c r="A66" s="4" t="s">
        <v>89</v>
      </c>
      <c r="B66" s="4" t="s">
        <v>53</v>
      </c>
      <c r="C66" s="5" t="s">
        <v>54</v>
      </c>
      <c r="D66" s="23" t="s">
        <v>35</v>
      </c>
      <c r="E66" s="18">
        <v>46070</v>
      </c>
      <c r="F66" s="18">
        <v>46589</v>
      </c>
      <c r="G66" s="6">
        <v>250</v>
      </c>
      <c r="H66" s="6">
        <f>SUMIF(Analysis_FEFO!$E$5:$E$174, A66, Analysis_FEFO!$G$5:$G$174)</f>
        <v>250</v>
      </c>
      <c r="I66" s="6">
        <f t="shared" si="3"/>
        <v>0</v>
      </c>
      <c r="J66" s="7">
        <v>50000</v>
      </c>
      <c r="K66" s="7">
        <f t="shared" si="0"/>
        <v>12500000</v>
      </c>
      <c r="L66" s="7">
        <f t="shared" si="4"/>
        <v>12500000</v>
      </c>
      <c r="M66" s="48">
        <f t="shared" ca="1" si="1"/>
        <v>267</v>
      </c>
      <c r="N66" s="6" t="str">
        <f t="shared" ca="1" si="5"/>
        <v>SAFE</v>
      </c>
      <c r="O66" s="29">
        <f t="shared" si="6"/>
        <v>0</v>
      </c>
      <c r="P66" s="38">
        <f t="shared" ca="1" si="7"/>
        <v>0</v>
      </c>
      <c r="Q66" s="4" t="str">
        <f t="shared" ca="1" si="2"/>
        <v>SAFE</v>
      </c>
      <c r="R66" s="30" t="str" cm="1">
        <f t="array" aca="1" ref="R66" ca="1">_xlfn.IFS(Q66="EXPIRED", "WRITE-OFF", Q66="WARNING", "FlASH SALE ", Q66="CRITICAL", "FEFO PRIORITY", Q66="SAFE", "REGULAR SALES")</f>
        <v>REGULAR SALES</v>
      </c>
    </row>
    <row r="67" spans="1:18" x14ac:dyDescent="0.25">
      <c r="A67" s="8" t="s">
        <v>90</v>
      </c>
      <c r="B67" s="8" t="s">
        <v>4</v>
      </c>
      <c r="C67" s="9" t="s">
        <v>5</v>
      </c>
      <c r="D67" s="24" t="s">
        <v>6</v>
      </c>
      <c r="E67" s="19">
        <v>45952</v>
      </c>
      <c r="F67" s="19">
        <v>46684</v>
      </c>
      <c r="G67" s="10">
        <v>500</v>
      </c>
      <c r="H67" s="6">
        <f>SUMIF(Analysis_FEFO!$E$5:$E$174, A67, Analysis_FEFO!$G$5:$G$174)</f>
        <v>0</v>
      </c>
      <c r="I67" s="6">
        <f t="shared" si="3"/>
        <v>500</v>
      </c>
      <c r="J67" s="11">
        <v>77000</v>
      </c>
      <c r="K67" s="11">
        <f t="shared" si="0"/>
        <v>38500000</v>
      </c>
      <c r="L67" s="7">
        <f t="shared" si="4"/>
        <v>0</v>
      </c>
      <c r="M67" s="48">
        <f t="shared" ca="1" si="1"/>
        <v>362</v>
      </c>
      <c r="N67" s="6" t="str">
        <f t="shared" ca="1" si="5"/>
        <v>SAFE</v>
      </c>
      <c r="O67" s="29">
        <f t="shared" si="6"/>
        <v>38500000</v>
      </c>
      <c r="P67" s="38">
        <f t="shared" ca="1" si="7"/>
        <v>0</v>
      </c>
      <c r="Q67" s="8" t="str">
        <f t="shared" ca="1" si="2"/>
        <v>SAFE</v>
      </c>
      <c r="R67" s="30" t="str" cm="1">
        <f t="array" aca="1" ref="R67" ca="1">_xlfn.IFS(Q67="EXPIRED", "WRITE-OFF", Q67="WARNING", "FlASH SALE ", Q67="CRITICAL", "FEFO PRIORITY", Q67="SAFE", "REGULAR SALES")</f>
        <v>REGULAR SALES</v>
      </c>
    </row>
    <row r="68" spans="1:18" x14ac:dyDescent="0.25">
      <c r="A68" s="4" t="s">
        <v>91</v>
      </c>
      <c r="B68" s="4" t="s">
        <v>19</v>
      </c>
      <c r="C68" s="5" t="s">
        <v>20</v>
      </c>
      <c r="D68" s="23" t="s">
        <v>21</v>
      </c>
      <c r="E68" s="18">
        <v>45928</v>
      </c>
      <c r="F68" s="18">
        <v>46485</v>
      </c>
      <c r="G68" s="6">
        <v>500</v>
      </c>
      <c r="H68" s="6">
        <f>SUMIF(Analysis_FEFO!$E$5:$E$174, A68, Analysis_FEFO!$G$5:$G$174)</f>
        <v>300</v>
      </c>
      <c r="I68" s="6">
        <f t="shared" si="3"/>
        <v>200</v>
      </c>
      <c r="J68" s="7">
        <v>46000</v>
      </c>
      <c r="K68" s="7">
        <f t="shared" si="0"/>
        <v>23000000</v>
      </c>
      <c r="L68" s="7">
        <f t="shared" si="4"/>
        <v>13800000</v>
      </c>
      <c r="M68" s="48">
        <f t="shared" ca="1" si="1"/>
        <v>163</v>
      </c>
      <c r="N68" s="6" t="str">
        <f t="shared" ca="1" si="5"/>
        <v>SAFE</v>
      </c>
      <c r="O68" s="29">
        <f t="shared" si="6"/>
        <v>9200000</v>
      </c>
      <c r="P68" s="38">
        <f t="shared" ca="1" si="7"/>
        <v>0</v>
      </c>
      <c r="Q68" s="4" t="str">
        <f t="shared" ca="1" si="2"/>
        <v>WARNING</v>
      </c>
      <c r="R68" s="30" t="str" cm="1">
        <f t="array" aca="1" ref="R68" ca="1">_xlfn.IFS(Q68="EXPIRED", "WRITE-OFF", Q68="WARNING", "FlASH SALE ", Q68="CRITICAL", "FEFO PRIORITY", Q68="SAFE", "REGULAR SALES")</f>
        <v xml:space="preserve">FlASH SALE </v>
      </c>
    </row>
    <row r="69" spans="1:18" x14ac:dyDescent="0.25">
      <c r="A69" s="8" t="s">
        <v>92</v>
      </c>
      <c r="B69" s="8" t="s">
        <v>16</v>
      </c>
      <c r="C69" s="9" t="s">
        <v>17</v>
      </c>
      <c r="D69" s="24" t="s">
        <v>6</v>
      </c>
      <c r="E69" s="19">
        <v>45925</v>
      </c>
      <c r="F69" s="19">
        <v>46433</v>
      </c>
      <c r="G69" s="10">
        <v>300</v>
      </c>
      <c r="H69" s="6">
        <f>SUMIF(Analysis_FEFO!$E$5:$E$174, A69, Analysis_FEFO!$G$5:$G$174)</f>
        <v>300</v>
      </c>
      <c r="I69" s="6">
        <f t="shared" si="3"/>
        <v>0</v>
      </c>
      <c r="J69" s="11">
        <v>60000</v>
      </c>
      <c r="K69" s="11">
        <f t="shared" si="0"/>
        <v>18000000</v>
      </c>
      <c r="L69" s="7">
        <f t="shared" si="4"/>
        <v>18000000</v>
      </c>
      <c r="M69" s="48">
        <f t="shared" ca="1" si="1"/>
        <v>111</v>
      </c>
      <c r="N69" s="6" t="str">
        <f t="shared" ca="1" si="5"/>
        <v>SAFE</v>
      </c>
      <c r="O69" s="29">
        <f t="shared" si="6"/>
        <v>0</v>
      </c>
      <c r="P69" s="38">
        <f t="shared" ca="1" si="7"/>
        <v>0</v>
      </c>
      <c r="Q69" s="8" t="str">
        <f t="shared" ca="1" si="2"/>
        <v>WARNING</v>
      </c>
      <c r="R69" s="30" t="str" cm="1">
        <f t="array" aca="1" ref="R69" ca="1">_xlfn.IFS(Q69="EXPIRED", "WRITE-OFF", Q69="WARNING", "FlASH SALE ", Q69="CRITICAL", "FEFO PRIORITY", Q69="SAFE", "REGULAR SALES")</f>
        <v xml:space="preserve">FlASH SALE </v>
      </c>
    </row>
    <row r="70" spans="1:18" x14ac:dyDescent="0.25">
      <c r="A70" s="4" t="s">
        <v>93</v>
      </c>
      <c r="B70" s="4" t="s">
        <v>33</v>
      </c>
      <c r="C70" s="5" t="s">
        <v>34</v>
      </c>
      <c r="D70" s="23" t="s">
        <v>35</v>
      </c>
      <c r="E70" s="18">
        <v>45930</v>
      </c>
      <c r="F70" s="18">
        <v>46461</v>
      </c>
      <c r="G70" s="6">
        <v>200</v>
      </c>
      <c r="H70" s="6">
        <f>SUMIF(Analysis_FEFO!$E$5:$E$174, A70, Analysis_FEFO!$G$5:$G$174)</f>
        <v>0</v>
      </c>
      <c r="I70" s="6">
        <f t="shared" si="3"/>
        <v>200</v>
      </c>
      <c r="J70" s="7">
        <v>57000</v>
      </c>
      <c r="K70" s="7">
        <f t="shared" ref="K70:K133" si="8">G70*J70</f>
        <v>11400000</v>
      </c>
      <c r="L70" s="7">
        <f t="shared" si="4"/>
        <v>0</v>
      </c>
      <c r="M70" s="48">
        <f t="shared" ref="M70:M133" ca="1" si="9">F70-TODAY()</f>
        <v>139</v>
      </c>
      <c r="N70" s="6" t="str">
        <f t="shared" ca="1" si="5"/>
        <v>SAFE</v>
      </c>
      <c r="O70" s="29">
        <f t="shared" ref="O70:O133" si="10">I70*J70</f>
        <v>11400000</v>
      </c>
      <c r="P70" s="38">
        <f t="shared" ca="1" si="7"/>
        <v>0</v>
      </c>
      <c r="Q70" s="4" t="str">
        <f t="shared" ref="Q70:Q133" ca="1" si="11">IF(M70&lt;0, "EXPIRED", IF(M70&lt;=60, "CRITICAL", IF(M70&lt;=180, "WARNING", "SAFE")))</f>
        <v>WARNING</v>
      </c>
      <c r="R70" s="30" t="str" cm="1">
        <f t="array" aca="1" ref="R70" ca="1">_xlfn.IFS(Q70="EXPIRED", "WRITE-OFF", Q70="WARNING", "FlASH SALE ", Q70="CRITICAL", "FEFO PRIORITY", Q70="SAFE", "REGULAR SALES")</f>
        <v xml:space="preserve">FlASH SALE </v>
      </c>
    </row>
    <row r="71" spans="1:18" x14ac:dyDescent="0.25">
      <c r="A71" s="8" t="s">
        <v>94</v>
      </c>
      <c r="B71" s="8" t="s">
        <v>45</v>
      </c>
      <c r="C71" s="9" t="s">
        <v>46</v>
      </c>
      <c r="D71" s="24" t="s">
        <v>14</v>
      </c>
      <c r="E71" s="19">
        <v>46045</v>
      </c>
      <c r="F71" s="19">
        <v>46590</v>
      </c>
      <c r="G71" s="10">
        <v>300</v>
      </c>
      <c r="H71" s="6">
        <f>SUMIF(Analysis_FEFO!$E$5:$E$174, A71, Analysis_FEFO!$G$5:$G$174)</f>
        <v>300</v>
      </c>
      <c r="I71" s="6">
        <f t="shared" ref="I71:I134" si="12">G71-H71</f>
        <v>0</v>
      </c>
      <c r="J71" s="11">
        <v>89000</v>
      </c>
      <c r="K71" s="11">
        <f t="shared" si="8"/>
        <v>26700000</v>
      </c>
      <c r="L71" s="7">
        <f t="shared" ref="L71:L134" si="13">H71*J71</f>
        <v>26700000</v>
      </c>
      <c r="M71" s="48">
        <f t="shared" ca="1" si="9"/>
        <v>268</v>
      </c>
      <c r="N71" s="6" t="str">
        <f t="shared" ref="N71:N134" ca="1" si="14">IF(M71&lt;=0, "EXPIRED", IF(M71&lt;=30, "EXPIRING SOON (&lt;30 DAYS)", "SAFE"))</f>
        <v>SAFE</v>
      </c>
      <c r="O71" s="29">
        <f t="shared" si="10"/>
        <v>0</v>
      </c>
      <c r="P71" s="38">
        <f t="shared" ref="P71:P134" ca="1" si="15">IF(OR(Q71="CRITICAL", Q71="EXPIRED"), O71, 0)</f>
        <v>0</v>
      </c>
      <c r="Q71" s="8" t="str">
        <f t="shared" ca="1" si="11"/>
        <v>SAFE</v>
      </c>
      <c r="R71" s="30" t="str" cm="1">
        <f t="array" aca="1" ref="R71" ca="1">_xlfn.IFS(Q71="EXPIRED", "WRITE-OFF", Q71="WARNING", "FlASH SALE ", Q71="CRITICAL", "FEFO PRIORITY", Q71="SAFE", "REGULAR SALES")</f>
        <v>REGULAR SALES</v>
      </c>
    </row>
    <row r="72" spans="1:18" x14ac:dyDescent="0.25">
      <c r="A72" s="4" t="s">
        <v>95</v>
      </c>
      <c r="B72" s="4" t="s">
        <v>12</v>
      </c>
      <c r="C72" s="5" t="s">
        <v>13</v>
      </c>
      <c r="D72" s="23" t="s">
        <v>14</v>
      </c>
      <c r="E72" s="18">
        <v>46055</v>
      </c>
      <c r="F72" s="18">
        <v>46520</v>
      </c>
      <c r="G72" s="6">
        <v>250</v>
      </c>
      <c r="H72" s="6">
        <f>SUMIF(Analysis_FEFO!$E$5:$E$174, A72, Analysis_FEFO!$G$5:$G$174)</f>
        <v>250</v>
      </c>
      <c r="I72" s="6">
        <f t="shared" si="12"/>
        <v>0</v>
      </c>
      <c r="J72" s="7">
        <v>32000</v>
      </c>
      <c r="K72" s="7">
        <f t="shared" si="8"/>
        <v>8000000</v>
      </c>
      <c r="L72" s="7">
        <f t="shared" si="13"/>
        <v>8000000</v>
      </c>
      <c r="M72" s="48">
        <f t="shared" ca="1" si="9"/>
        <v>198</v>
      </c>
      <c r="N72" s="6" t="str">
        <f t="shared" ca="1" si="14"/>
        <v>SAFE</v>
      </c>
      <c r="O72" s="29">
        <f t="shared" si="10"/>
        <v>0</v>
      </c>
      <c r="P72" s="38">
        <f t="shared" ca="1" si="15"/>
        <v>0</v>
      </c>
      <c r="Q72" s="4" t="str">
        <f t="shared" ca="1" si="11"/>
        <v>SAFE</v>
      </c>
      <c r="R72" s="30" t="str" cm="1">
        <f t="array" aca="1" ref="R72" ca="1">_xlfn.IFS(Q72="EXPIRED", "WRITE-OFF", Q72="WARNING", "FlASH SALE ", Q72="CRITICAL", "FEFO PRIORITY", Q72="SAFE", "REGULAR SALES")</f>
        <v>REGULAR SALES</v>
      </c>
    </row>
    <row r="73" spans="1:18" x14ac:dyDescent="0.25">
      <c r="A73" s="8" t="s">
        <v>96</v>
      </c>
      <c r="B73" s="8" t="s">
        <v>12</v>
      </c>
      <c r="C73" s="9" t="s">
        <v>13</v>
      </c>
      <c r="D73" s="24" t="s">
        <v>14</v>
      </c>
      <c r="E73" s="19">
        <v>45993</v>
      </c>
      <c r="F73" s="19">
        <v>47006</v>
      </c>
      <c r="G73" s="10">
        <v>100</v>
      </c>
      <c r="H73" s="6">
        <f>SUMIF(Analysis_FEFO!$E$5:$E$174, A73, Analysis_FEFO!$G$5:$G$174)</f>
        <v>0</v>
      </c>
      <c r="I73" s="6">
        <f t="shared" si="12"/>
        <v>100</v>
      </c>
      <c r="J73" s="11">
        <v>28000</v>
      </c>
      <c r="K73" s="11">
        <f t="shared" si="8"/>
        <v>2800000</v>
      </c>
      <c r="L73" s="7">
        <f t="shared" si="13"/>
        <v>0</v>
      </c>
      <c r="M73" s="48">
        <f t="shared" ca="1" si="9"/>
        <v>684</v>
      </c>
      <c r="N73" s="6" t="str">
        <f t="shared" ca="1" si="14"/>
        <v>SAFE</v>
      </c>
      <c r="O73" s="29">
        <f t="shared" si="10"/>
        <v>2800000</v>
      </c>
      <c r="P73" s="38">
        <f t="shared" ca="1" si="15"/>
        <v>0</v>
      </c>
      <c r="Q73" s="8" t="str">
        <f t="shared" ca="1" si="11"/>
        <v>SAFE</v>
      </c>
      <c r="R73" s="30" t="str" cm="1">
        <f t="array" aca="1" ref="R73" ca="1">_xlfn.IFS(Q73="EXPIRED", "WRITE-OFF", Q73="WARNING", "FlASH SALE ", Q73="CRITICAL", "FEFO PRIORITY", Q73="SAFE", "REGULAR SALES")</f>
        <v>REGULAR SALES</v>
      </c>
    </row>
    <row r="74" spans="1:18" x14ac:dyDescent="0.25">
      <c r="A74" s="4" t="s">
        <v>97</v>
      </c>
      <c r="B74" s="4" t="s">
        <v>53</v>
      </c>
      <c r="C74" s="5" t="s">
        <v>54</v>
      </c>
      <c r="D74" s="23" t="s">
        <v>35</v>
      </c>
      <c r="E74" s="18">
        <v>46012</v>
      </c>
      <c r="F74" s="18">
        <v>46477</v>
      </c>
      <c r="G74" s="6">
        <v>250</v>
      </c>
      <c r="H74" s="6">
        <f>SUMIF(Analysis_FEFO!$E$5:$E$174, A74, Analysis_FEFO!$G$5:$G$174)</f>
        <v>250</v>
      </c>
      <c r="I74" s="6">
        <f t="shared" si="12"/>
        <v>0</v>
      </c>
      <c r="J74" s="7">
        <v>54000</v>
      </c>
      <c r="K74" s="7">
        <f t="shared" si="8"/>
        <v>13500000</v>
      </c>
      <c r="L74" s="7">
        <f t="shared" si="13"/>
        <v>13500000</v>
      </c>
      <c r="M74" s="48">
        <f t="shared" ca="1" si="9"/>
        <v>155</v>
      </c>
      <c r="N74" s="6" t="str">
        <f t="shared" ca="1" si="14"/>
        <v>SAFE</v>
      </c>
      <c r="O74" s="29">
        <f t="shared" si="10"/>
        <v>0</v>
      </c>
      <c r="P74" s="38">
        <f t="shared" ca="1" si="15"/>
        <v>0</v>
      </c>
      <c r="Q74" s="4" t="str">
        <f t="shared" ca="1" si="11"/>
        <v>WARNING</v>
      </c>
      <c r="R74" s="30" t="str" cm="1">
        <f t="array" aca="1" ref="R74" ca="1">_xlfn.IFS(Q74="EXPIRED", "WRITE-OFF", Q74="WARNING", "FlASH SALE ", Q74="CRITICAL", "FEFO PRIORITY", Q74="SAFE", "REGULAR SALES")</f>
        <v xml:space="preserve">FlASH SALE </v>
      </c>
    </row>
    <row r="75" spans="1:18" x14ac:dyDescent="0.25">
      <c r="A75" s="8" t="s">
        <v>98</v>
      </c>
      <c r="B75" s="8" t="s">
        <v>53</v>
      </c>
      <c r="C75" s="9" t="s">
        <v>54</v>
      </c>
      <c r="D75" s="24" t="s">
        <v>35</v>
      </c>
      <c r="E75" s="19">
        <v>46097</v>
      </c>
      <c r="F75" s="19">
        <v>46356</v>
      </c>
      <c r="G75" s="10">
        <v>250</v>
      </c>
      <c r="H75" s="6">
        <f>SUMIF(Analysis_FEFO!$E$5:$E$174, A75, Analysis_FEFO!$G$5:$G$174)</f>
        <v>0</v>
      </c>
      <c r="I75" s="6">
        <f t="shared" si="12"/>
        <v>250</v>
      </c>
      <c r="J75" s="11">
        <v>57000</v>
      </c>
      <c r="K75" s="11">
        <f t="shared" si="8"/>
        <v>14250000</v>
      </c>
      <c r="L75" s="7">
        <f t="shared" si="13"/>
        <v>0</v>
      </c>
      <c r="M75" s="48">
        <f t="shared" ca="1" si="9"/>
        <v>34</v>
      </c>
      <c r="N75" s="6" t="str">
        <f t="shared" ca="1" si="14"/>
        <v>SAFE</v>
      </c>
      <c r="O75" s="29">
        <f t="shared" si="10"/>
        <v>14250000</v>
      </c>
      <c r="P75" s="38">
        <f t="shared" ca="1" si="15"/>
        <v>14250000</v>
      </c>
      <c r="Q75" s="8" t="str">
        <f t="shared" ca="1" si="11"/>
        <v>CRITICAL</v>
      </c>
      <c r="R75" s="30" t="str" cm="1">
        <f t="array" aca="1" ref="R75" ca="1">_xlfn.IFS(Q75="EXPIRED", "WRITE-OFF", Q75="WARNING", "FlASH SALE ", Q75="CRITICAL", "FEFO PRIORITY", Q75="SAFE", "REGULAR SALES")</f>
        <v>FEFO PRIORITY</v>
      </c>
    </row>
    <row r="76" spans="1:18" x14ac:dyDescent="0.25">
      <c r="A76" s="4" t="s">
        <v>99</v>
      </c>
      <c r="B76" s="4" t="s">
        <v>12</v>
      </c>
      <c r="C76" s="5" t="s">
        <v>13</v>
      </c>
      <c r="D76" s="23" t="s">
        <v>14</v>
      </c>
      <c r="E76" s="18">
        <v>45908</v>
      </c>
      <c r="F76" s="18">
        <v>46357</v>
      </c>
      <c r="G76" s="6">
        <v>300</v>
      </c>
      <c r="H76" s="6">
        <f>SUMIF(Analysis_FEFO!$E$5:$E$174, A76, Analysis_FEFO!$G$5:$G$174)</f>
        <v>300</v>
      </c>
      <c r="I76" s="6">
        <f t="shared" si="12"/>
        <v>0</v>
      </c>
      <c r="J76" s="7">
        <v>29000</v>
      </c>
      <c r="K76" s="7">
        <f t="shared" si="8"/>
        <v>8700000</v>
      </c>
      <c r="L76" s="7">
        <f t="shared" si="13"/>
        <v>8700000</v>
      </c>
      <c r="M76" s="48">
        <f t="shared" ca="1" si="9"/>
        <v>35</v>
      </c>
      <c r="N76" s="6" t="str">
        <f t="shared" ca="1" si="14"/>
        <v>SAFE</v>
      </c>
      <c r="O76" s="29">
        <f t="shared" si="10"/>
        <v>0</v>
      </c>
      <c r="P76" s="38">
        <f t="shared" ca="1" si="15"/>
        <v>0</v>
      </c>
      <c r="Q76" s="4" t="str">
        <f t="shared" ca="1" si="11"/>
        <v>CRITICAL</v>
      </c>
      <c r="R76" s="30" t="str" cm="1">
        <f t="array" aca="1" ref="R76" ca="1">_xlfn.IFS(Q76="EXPIRED", "WRITE-OFF", Q76="WARNING", "FlASH SALE ", Q76="CRITICAL", "FEFO PRIORITY", Q76="SAFE", "REGULAR SALES")</f>
        <v>FEFO PRIORITY</v>
      </c>
    </row>
    <row r="77" spans="1:18" x14ac:dyDescent="0.25">
      <c r="A77" s="8" t="s">
        <v>100</v>
      </c>
      <c r="B77" s="8" t="s">
        <v>19</v>
      </c>
      <c r="C77" s="9" t="s">
        <v>20</v>
      </c>
      <c r="D77" s="24" t="s">
        <v>21</v>
      </c>
      <c r="E77" s="19">
        <v>45812</v>
      </c>
      <c r="F77" s="19">
        <v>46537</v>
      </c>
      <c r="G77" s="10">
        <v>300</v>
      </c>
      <c r="H77" s="6">
        <f>SUMIF(Analysis_FEFO!$E$5:$E$174, A77, Analysis_FEFO!$G$5:$G$174)</f>
        <v>0</v>
      </c>
      <c r="I77" s="6">
        <f t="shared" si="12"/>
        <v>300</v>
      </c>
      <c r="J77" s="11">
        <v>45000</v>
      </c>
      <c r="K77" s="11">
        <f t="shared" si="8"/>
        <v>13500000</v>
      </c>
      <c r="L77" s="7">
        <f t="shared" si="13"/>
        <v>0</v>
      </c>
      <c r="M77" s="48">
        <f t="shared" ca="1" si="9"/>
        <v>215</v>
      </c>
      <c r="N77" s="6" t="str">
        <f t="shared" ca="1" si="14"/>
        <v>SAFE</v>
      </c>
      <c r="O77" s="29">
        <f t="shared" si="10"/>
        <v>13500000</v>
      </c>
      <c r="P77" s="38">
        <f t="shared" ca="1" si="15"/>
        <v>0</v>
      </c>
      <c r="Q77" s="8" t="str">
        <f t="shared" ca="1" si="11"/>
        <v>SAFE</v>
      </c>
      <c r="R77" s="30" t="str" cm="1">
        <f t="array" aca="1" ref="R77" ca="1">_xlfn.IFS(Q77="EXPIRED", "WRITE-OFF", Q77="WARNING", "FlASH SALE ", Q77="CRITICAL", "FEFO PRIORITY", Q77="SAFE", "REGULAR SALES")</f>
        <v>REGULAR SALES</v>
      </c>
    </row>
    <row r="78" spans="1:18" x14ac:dyDescent="0.25">
      <c r="A78" s="4" t="s">
        <v>101</v>
      </c>
      <c r="B78" s="4" t="s">
        <v>53</v>
      </c>
      <c r="C78" s="5" t="s">
        <v>54</v>
      </c>
      <c r="D78" s="23" t="s">
        <v>35</v>
      </c>
      <c r="E78" s="18">
        <v>45960</v>
      </c>
      <c r="F78" s="18">
        <v>46672</v>
      </c>
      <c r="G78" s="6">
        <v>300</v>
      </c>
      <c r="H78" s="6">
        <f>SUMIF(Analysis_FEFO!$E$5:$E$174, A78, Analysis_FEFO!$G$5:$G$174)</f>
        <v>50</v>
      </c>
      <c r="I78" s="6">
        <f t="shared" si="12"/>
        <v>250</v>
      </c>
      <c r="J78" s="7">
        <v>48000</v>
      </c>
      <c r="K78" s="7">
        <f t="shared" si="8"/>
        <v>14400000</v>
      </c>
      <c r="L78" s="7">
        <f t="shared" si="13"/>
        <v>2400000</v>
      </c>
      <c r="M78" s="48">
        <f t="shared" ca="1" si="9"/>
        <v>350</v>
      </c>
      <c r="N78" s="6" t="str">
        <f t="shared" ca="1" si="14"/>
        <v>SAFE</v>
      </c>
      <c r="O78" s="29">
        <f t="shared" si="10"/>
        <v>12000000</v>
      </c>
      <c r="P78" s="38">
        <f t="shared" ca="1" si="15"/>
        <v>0</v>
      </c>
      <c r="Q78" s="4" t="str">
        <f t="shared" ca="1" si="11"/>
        <v>SAFE</v>
      </c>
      <c r="R78" s="30" t="str" cm="1">
        <f t="array" aca="1" ref="R78" ca="1">_xlfn.IFS(Q78="EXPIRED", "WRITE-OFF", Q78="WARNING", "FlASH SALE ", Q78="CRITICAL", "FEFO PRIORITY", Q78="SAFE", "REGULAR SALES")</f>
        <v>REGULAR SALES</v>
      </c>
    </row>
    <row r="79" spans="1:18" x14ac:dyDescent="0.25">
      <c r="A79" s="8" t="s">
        <v>102</v>
      </c>
      <c r="B79" s="8" t="s">
        <v>8</v>
      </c>
      <c r="C79" s="9" t="s">
        <v>9</v>
      </c>
      <c r="D79" s="24" t="s">
        <v>10</v>
      </c>
      <c r="E79" s="19">
        <v>45909</v>
      </c>
      <c r="F79" s="19">
        <v>46619</v>
      </c>
      <c r="G79" s="10">
        <v>1000</v>
      </c>
      <c r="H79" s="6">
        <f>SUMIF(Analysis_FEFO!$E$5:$E$174, A79, Analysis_FEFO!$G$5:$G$174)</f>
        <v>0</v>
      </c>
      <c r="I79" s="6">
        <f t="shared" si="12"/>
        <v>1000</v>
      </c>
      <c r="J79" s="11">
        <v>33000</v>
      </c>
      <c r="K79" s="11">
        <f t="shared" si="8"/>
        <v>33000000</v>
      </c>
      <c r="L79" s="7">
        <f t="shared" si="13"/>
        <v>0</v>
      </c>
      <c r="M79" s="48">
        <f t="shared" ca="1" si="9"/>
        <v>297</v>
      </c>
      <c r="N79" s="6" t="str">
        <f t="shared" ca="1" si="14"/>
        <v>SAFE</v>
      </c>
      <c r="O79" s="29">
        <f t="shared" si="10"/>
        <v>33000000</v>
      </c>
      <c r="P79" s="38">
        <f t="shared" ca="1" si="15"/>
        <v>0</v>
      </c>
      <c r="Q79" s="8" t="str">
        <f t="shared" ca="1" si="11"/>
        <v>SAFE</v>
      </c>
      <c r="R79" s="30" t="str" cm="1">
        <f t="array" aca="1" ref="R79" ca="1">_xlfn.IFS(Q79="EXPIRED", "WRITE-OFF", Q79="WARNING", "FlASH SALE ", Q79="CRITICAL", "FEFO PRIORITY", Q79="SAFE", "REGULAR SALES")</f>
        <v>REGULAR SALES</v>
      </c>
    </row>
    <row r="80" spans="1:18" x14ac:dyDescent="0.25">
      <c r="A80" s="4" t="s">
        <v>103</v>
      </c>
      <c r="B80" s="4" t="s">
        <v>25</v>
      </c>
      <c r="C80" s="5" t="s">
        <v>26</v>
      </c>
      <c r="D80" s="23" t="s">
        <v>27</v>
      </c>
      <c r="E80" s="18">
        <v>46061</v>
      </c>
      <c r="F80" s="18">
        <v>46563</v>
      </c>
      <c r="G80" s="6">
        <v>250</v>
      </c>
      <c r="H80" s="6">
        <f>SUMIF(Analysis_FEFO!$E$5:$E$174, A80, Analysis_FEFO!$G$5:$G$174)</f>
        <v>0</v>
      </c>
      <c r="I80" s="6">
        <f t="shared" si="12"/>
        <v>250</v>
      </c>
      <c r="J80" s="7">
        <v>64000</v>
      </c>
      <c r="K80" s="7">
        <f t="shared" si="8"/>
        <v>16000000</v>
      </c>
      <c r="L80" s="7">
        <f t="shared" si="13"/>
        <v>0</v>
      </c>
      <c r="M80" s="48">
        <f t="shared" ca="1" si="9"/>
        <v>241</v>
      </c>
      <c r="N80" s="6" t="str">
        <f t="shared" ca="1" si="14"/>
        <v>SAFE</v>
      </c>
      <c r="O80" s="29">
        <f t="shared" si="10"/>
        <v>16000000</v>
      </c>
      <c r="P80" s="38">
        <f t="shared" ca="1" si="15"/>
        <v>0</v>
      </c>
      <c r="Q80" s="4" t="str">
        <f t="shared" ca="1" si="11"/>
        <v>SAFE</v>
      </c>
      <c r="R80" s="30" t="str" cm="1">
        <f t="array" aca="1" ref="R80" ca="1">_xlfn.IFS(Q80="EXPIRED", "WRITE-OFF", Q80="WARNING", "FlASH SALE ", Q80="CRITICAL", "FEFO PRIORITY", Q80="SAFE", "REGULAR SALES")</f>
        <v>REGULAR SALES</v>
      </c>
    </row>
    <row r="81" spans="1:18" x14ac:dyDescent="0.25">
      <c r="A81" s="8" t="s">
        <v>104</v>
      </c>
      <c r="B81" s="8" t="s">
        <v>29</v>
      </c>
      <c r="C81" s="9" t="s">
        <v>30</v>
      </c>
      <c r="D81" s="24" t="s">
        <v>10</v>
      </c>
      <c r="E81" s="19">
        <v>45901</v>
      </c>
      <c r="F81" s="19">
        <v>46451</v>
      </c>
      <c r="G81" s="10">
        <v>250</v>
      </c>
      <c r="H81" s="6">
        <f>SUMIF(Analysis_FEFO!$E$5:$E$174, A81, Analysis_FEFO!$G$5:$G$174)</f>
        <v>0</v>
      </c>
      <c r="I81" s="6">
        <f t="shared" si="12"/>
        <v>250</v>
      </c>
      <c r="J81" s="11">
        <v>27000</v>
      </c>
      <c r="K81" s="11">
        <f t="shared" si="8"/>
        <v>6750000</v>
      </c>
      <c r="L81" s="7">
        <f t="shared" si="13"/>
        <v>0</v>
      </c>
      <c r="M81" s="48">
        <f t="shared" ca="1" si="9"/>
        <v>129</v>
      </c>
      <c r="N81" s="6" t="str">
        <f t="shared" ca="1" si="14"/>
        <v>SAFE</v>
      </c>
      <c r="O81" s="29">
        <f t="shared" si="10"/>
        <v>6750000</v>
      </c>
      <c r="P81" s="38">
        <f t="shared" ca="1" si="15"/>
        <v>0</v>
      </c>
      <c r="Q81" s="8" t="str">
        <f t="shared" ca="1" si="11"/>
        <v>WARNING</v>
      </c>
      <c r="R81" s="30" t="str" cm="1">
        <f t="array" aca="1" ref="R81" ca="1">_xlfn.IFS(Q81="EXPIRED", "WRITE-OFF", Q81="WARNING", "FlASH SALE ", Q81="CRITICAL", "FEFO PRIORITY", Q81="SAFE", "REGULAR SALES")</f>
        <v xml:space="preserve">FlASH SALE </v>
      </c>
    </row>
    <row r="82" spans="1:18" x14ac:dyDescent="0.25">
      <c r="A82" s="4" t="s">
        <v>105</v>
      </c>
      <c r="B82" s="4" t="s">
        <v>45</v>
      </c>
      <c r="C82" s="5" t="s">
        <v>46</v>
      </c>
      <c r="D82" s="23" t="s">
        <v>14</v>
      </c>
      <c r="E82" s="18">
        <v>46004</v>
      </c>
      <c r="F82" s="18">
        <v>46366</v>
      </c>
      <c r="G82" s="6">
        <v>300</v>
      </c>
      <c r="H82" s="6">
        <f>SUMIF(Analysis_FEFO!$E$5:$E$174, A82, Analysis_FEFO!$G$5:$G$174)</f>
        <v>0</v>
      </c>
      <c r="I82" s="6">
        <f t="shared" si="12"/>
        <v>300</v>
      </c>
      <c r="J82" s="7">
        <v>97000</v>
      </c>
      <c r="K82" s="7">
        <f t="shared" si="8"/>
        <v>29100000</v>
      </c>
      <c r="L82" s="7">
        <f t="shared" si="13"/>
        <v>0</v>
      </c>
      <c r="M82" s="48">
        <f t="shared" ca="1" si="9"/>
        <v>44</v>
      </c>
      <c r="N82" s="6" t="str">
        <f t="shared" ca="1" si="14"/>
        <v>SAFE</v>
      </c>
      <c r="O82" s="29">
        <f t="shared" si="10"/>
        <v>29100000</v>
      </c>
      <c r="P82" s="38">
        <f t="shared" ca="1" si="15"/>
        <v>29100000</v>
      </c>
      <c r="Q82" s="4" t="str">
        <f t="shared" ca="1" si="11"/>
        <v>CRITICAL</v>
      </c>
      <c r="R82" s="30" t="str" cm="1">
        <f t="array" aca="1" ref="R82" ca="1">_xlfn.IFS(Q82="EXPIRED", "WRITE-OFF", Q82="WARNING", "FlASH SALE ", Q82="CRITICAL", "FEFO PRIORITY", Q82="SAFE", "REGULAR SALES")</f>
        <v>FEFO PRIORITY</v>
      </c>
    </row>
    <row r="83" spans="1:18" x14ac:dyDescent="0.25">
      <c r="A83" s="8" t="s">
        <v>106</v>
      </c>
      <c r="B83" s="8" t="s">
        <v>29</v>
      </c>
      <c r="C83" s="9" t="s">
        <v>30</v>
      </c>
      <c r="D83" s="24" t="s">
        <v>10</v>
      </c>
      <c r="E83" s="19">
        <v>46025</v>
      </c>
      <c r="F83" s="19">
        <v>46574</v>
      </c>
      <c r="G83" s="10">
        <v>300</v>
      </c>
      <c r="H83" s="6">
        <f>SUMIF(Analysis_FEFO!$E$5:$E$174, A83, Analysis_FEFO!$G$5:$G$174)</f>
        <v>0</v>
      </c>
      <c r="I83" s="6">
        <f t="shared" si="12"/>
        <v>300</v>
      </c>
      <c r="J83" s="11">
        <v>29000</v>
      </c>
      <c r="K83" s="11">
        <f t="shared" si="8"/>
        <v>8700000</v>
      </c>
      <c r="L83" s="7">
        <f t="shared" si="13"/>
        <v>0</v>
      </c>
      <c r="M83" s="48">
        <f t="shared" ca="1" si="9"/>
        <v>252</v>
      </c>
      <c r="N83" s="6" t="str">
        <f t="shared" ca="1" si="14"/>
        <v>SAFE</v>
      </c>
      <c r="O83" s="29">
        <f t="shared" si="10"/>
        <v>8700000</v>
      </c>
      <c r="P83" s="38">
        <f t="shared" ca="1" si="15"/>
        <v>0</v>
      </c>
      <c r="Q83" s="8" t="str">
        <f t="shared" ca="1" si="11"/>
        <v>SAFE</v>
      </c>
      <c r="R83" s="30" t="str" cm="1">
        <f t="array" aca="1" ref="R83" ca="1">_xlfn.IFS(Q83="EXPIRED", "WRITE-OFF", Q83="WARNING", "FlASH SALE ", Q83="CRITICAL", "FEFO PRIORITY", Q83="SAFE", "REGULAR SALES")</f>
        <v>REGULAR SALES</v>
      </c>
    </row>
    <row r="84" spans="1:18" x14ac:dyDescent="0.25">
      <c r="A84" s="4" t="s">
        <v>107</v>
      </c>
      <c r="B84" s="4" t="s">
        <v>45</v>
      </c>
      <c r="C84" s="5" t="s">
        <v>46</v>
      </c>
      <c r="D84" s="23" t="s">
        <v>14</v>
      </c>
      <c r="E84" s="18">
        <v>46000</v>
      </c>
      <c r="F84" s="18">
        <v>46347</v>
      </c>
      <c r="G84" s="6">
        <v>250</v>
      </c>
      <c r="H84" s="6">
        <f>SUMIF(Analysis_FEFO!$E$5:$E$174, A84, Analysis_FEFO!$G$5:$G$174)</f>
        <v>0</v>
      </c>
      <c r="I84" s="6">
        <f t="shared" si="12"/>
        <v>250</v>
      </c>
      <c r="J84" s="7">
        <v>86000</v>
      </c>
      <c r="K84" s="7">
        <f t="shared" si="8"/>
        <v>21500000</v>
      </c>
      <c r="L84" s="7">
        <f t="shared" si="13"/>
        <v>0</v>
      </c>
      <c r="M84" s="48">
        <f t="shared" ca="1" si="9"/>
        <v>25</v>
      </c>
      <c r="N84" s="6" t="str">
        <f t="shared" ca="1" si="14"/>
        <v>EXPIRING SOON (&lt;30 DAYS)</v>
      </c>
      <c r="O84" s="29">
        <f t="shared" si="10"/>
        <v>21500000</v>
      </c>
      <c r="P84" s="38">
        <f t="shared" ca="1" si="15"/>
        <v>21500000</v>
      </c>
      <c r="Q84" s="4" t="str">
        <f t="shared" ca="1" si="11"/>
        <v>CRITICAL</v>
      </c>
      <c r="R84" s="30" t="str" cm="1">
        <f t="array" aca="1" ref="R84" ca="1">_xlfn.IFS(Q84="EXPIRED", "WRITE-OFF", Q84="WARNING", "FlASH SALE ", Q84="CRITICAL", "FEFO PRIORITY", Q84="SAFE", "REGULAR SALES")</f>
        <v>FEFO PRIORITY</v>
      </c>
    </row>
    <row r="85" spans="1:18" x14ac:dyDescent="0.25">
      <c r="A85" s="8" t="s">
        <v>108</v>
      </c>
      <c r="B85" s="8" t="s">
        <v>19</v>
      </c>
      <c r="C85" s="9" t="s">
        <v>20</v>
      </c>
      <c r="D85" s="24" t="s">
        <v>21</v>
      </c>
      <c r="E85" s="19">
        <v>45904</v>
      </c>
      <c r="F85" s="19">
        <v>46553</v>
      </c>
      <c r="G85" s="10">
        <v>300</v>
      </c>
      <c r="H85" s="6">
        <f>SUMIF(Analysis_FEFO!$E$5:$E$174, A85, Analysis_FEFO!$G$5:$G$174)</f>
        <v>0</v>
      </c>
      <c r="I85" s="6">
        <f t="shared" si="12"/>
        <v>300</v>
      </c>
      <c r="J85" s="11">
        <v>48000</v>
      </c>
      <c r="K85" s="11">
        <f t="shared" si="8"/>
        <v>14400000</v>
      </c>
      <c r="L85" s="7">
        <f t="shared" si="13"/>
        <v>0</v>
      </c>
      <c r="M85" s="48">
        <f t="shared" ca="1" si="9"/>
        <v>231</v>
      </c>
      <c r="N85" s="6" t="str">
        <f t="shared" ca="1" si="14"/>
        <v>SAFE</v>
      </c>
      <c r="O85" s="29">
        <f t="shared" si="10"/>
        <v>14400000</v>
      </c>
      <c r="P85" s="38">
        <f t="shared" ca="1" si="15"/>
        <v>0</v>
      </c>
      <c r="Q85" s="8" t="str">
        <f t="shared" ca="1" si="11"/>
        <v>SAFE</v>
      </c>
      <c r="R85" s="30" t="str" cm="1">
        <f t="array" aca="1" ref="R85" ca="1">_xlfn.IFS(Q85="EXPIRED", "WRITE-OFF", Q85="WARNING", "FlASH SALE ", Q85="CRITICAL", "FEFO PRIORITY", Q85="SAFE", "REGULAR SALES")</f>
        <v>REGULAR SALES</v>
      </c>
    </row>
    <row r="86" spans="1:18" x14ac:dyDescent="0.25">
      <c r="A86" s="4" t="s">
        <v>109</v>
      </c>
      <c r="B86" s="4" t="s">
        <v>19</v>
      </c>
      <c r="C86" s="5" t="s">
        <v>20</v>
      </c>
      <c r="D86" s="23" t="s">
        <v>21</v>
      </c>
      <c r="E86" s="18">
        <v>45991</v>
      </c>
      <c r="F86" s="18">
        <v>46540</v>
      </c>
      <c r="G86" s="6">
        <v>200</v>
      </c>
      <c r="H86" s="6">
        <f>SUMIF(Analysis_FEFO!$E$5:$E$174, A86, Analysis_FEFO!$G$5:$G$174)</f>
        <v>0</v>
      </c>
      <c r="I86" s="6">
        <f t="shared" si="12"/>
        <v>200</v>
      </c>
      <c r="J86" s="7">
        <v>50000</v>
      </c>
      <c r="K86" s="7">
        <f t="shared" si="8"/>
        <v>10000000</v>
      </c>
      <c r="L86" s="7">
        <f t="shared" si="13"/>
        <v>0</v>
      </c>
      <c r="M86" s="48">
        <f t="shared" ca="1" si="9"/>
        <v>218</v>
      </c>
      <c r="N86" s="6" t="str">
        <f t="shared" ca="1" si="14"/>
        <v>SAFE</v>
      </c>
      <c r="O86" s="29">
        <f t="shared" si="10"/>
        <v>10000000</v>
      </c>
      <c r="P86" s="38">
        <f t="shared" ca="1" si="15"/>
        <v>0</v>
      </c>
      <c r="Q86" s="4" t="str">
        <f t="shared" ca="1" si="11"/>
        <v>SAFE</v>
      </c>
      <c r="R86" s="30" t="str" cm="1">
        <f t="array" aca="1" ref="R86" ca="1">_xlfn.IFS(Q86="EXPIRED", "WRITE-OFF", Q86="WARNING", "FlASH SALE ", Q86="CRITICAL", "FEFO PRIORITY", Q86="SAFE", "REGULAR SALES")</f>
        <v>REGULAR SALES</v>
      </c>
    </row>
    <row r="87" spans="1:18" x14ac:dyDescent="0.25">
      <c r="A87" s="8" t="s">
        <v>110</v>
      </c>
      <c r="B87" s="8" t="s">
        <v>19</v>
      </c>
      <c r="C87" s="9" t="s">
        <v>20</v>
      </c>
      <c r="D87" s="24" t="s">
        <v>21</v>
      </c>
      <c r="E87" s="19">
        <v>45870</v>
      </c>
      <c r="F87" s="19">
        <v>46514</v>
      </c>
      <c r="G87" s="10">
        <v>250</v>
      </c>
      <c r="H87" s="6">
        <f>SUMIF(Analysis_FEFO!$E$5:$E$174, A87, Analysis_FEFO!$G$5:$G$174)</f>
        <v>0</v>
      </c>
      <c r="I87" s="6">
        <f t="shared" si="12"/>
        <v>250</v>
      </c>
      <c r="J87" s="11">
        <v>47000</v>
      </c>
      <c r="K87" s="11">
        <f t="shared" si="8"/>
        <v>11750000</v>
      </c>
      <c r="L87" s="7">
        <f t="shared" si="13"/>
        <v>0</v>
      </c>
      <c r="M87" s="48">
        <f t="shared" ca="1" si="9"/>
        <v>192</v>
      </c>
      <c r="N87" s="6" t="str">
        <f t="shared" ca="1" si="14"/>
        <v>SAFE</v>
      </c>
      <c r="O87" s="29">
        <f t="shared" si="10"/>
        <v>11750000</v>
      </c>
      <c r="P87" s="38">
        <f t="shared" ca="1" si="15"/>
        <v>0</v>
      </c>
      <c r="Q87" s="8" t="str">
        <f t="shared" ca="1" si="11"/>
        <v>SAFE</v>
      </c>
      <c r="R87" s="30" t="str" cm="1">
        <f t="array" aca="1" ref="R87" ca="1">_xlfn.IFS(Q87="EXPIRED", "WRITE-OFF", Q87="WARNING", "FlASH SALE ", Q87="CRITICAL", "FEFO PRIORITY", Q87="SAFE", "REGULAR SALES")</f>
        <v>REGULAR SALES</v>
      </c>
    </row>
    <row r="88" spans="1:18" x14ac:dyDescent="0.25">
      <c r="A88" s="4" t="s">
        <v>111</v>
      </c>
      <c r="B88" s="4" t="s">
        <v>8</v>
      </c>
      <c r="C88" s="5" t="s">
        <v>9</v>
      </c>
      <c r="D88" s="23" t="s">
        <v>10</v>
      </c>
      <c r="E88" s="18">
        <v>46350</v>
      </c>
      <c r="F88" s="18">
        <v>46513</v>
      </c>
      <c r="G88" s="6">
        <v>750</v>
      </c>
      <c r="H88" s="6">
        <f>SUMIF(Analysis_FEFO!$E$5:$E$174, A88, Analysis_FEFO!$G$5:$G$174)</f>
        <v>0</v>
      </c>
      <c r="I88" s="6">
        <f t="shared" si="12"/>
        <v>750</v>
      </c>
      <c r="J88" s="7">
        <v>35000</v>
      </c>
      <c r="K88" s="7">
        <f t="shared" si="8"/>
        <v>26250000</v>
      </c>
      <c r="L88" s="7">
        <f t="shared" si="13"/>
        <v>0</v>
      </c>
      <c r="M88" s="48">
        <f t="shared" ca="1" si="9"/>
        <v>191</v>
      </c>
      <c r="N88" s="6" t="str">
        <f t="shared" ca="1" si="14"/>
        <v>SAFE</v>
      </c>
      <c r="O88" s="29">
        <f t="shared" si="10"/>
        <v>26250000</v>
      </c>
      <c r="P88" s="38">
        <f t="shared" ca="1" si="15"/>
        <v>0</v>
      </c>
      <c r="Q88" s="4" t="str">
        <f t="shared" ca="1" si="11"/>
        <v>SAFE</v>
      </c>
      <c r="R88" s="30" t="str" cm="1">
        <f t="array" aca="1" ref="R88" ca="1">_xlfn.IFS(Q88="EXPIRED", "WRITE-OFF", Q88="WARNING", "FlASH SALE ", Q88="CRITICAL", "FEFO PRIORITY", Q88="SAFE", "REGULAR SALES")</f>
        <v>REGULAR SALES</v>
      </c>
    </row>
    <row r="89" spans="1:18" x14ac:dyDescent="0.25">
      <c r="A89" s="8" t="s">
        <v>112</v>
      </c>
      <c r="B89" s="8" t="s">
        <v>45</v>
      </c>
      <c r="C89" s="9" t="s">
        <v>46</v>
      </c>
      <c r="D89" s="24" t="s">
        <v>14</v>
      </c>
      <c r="E89" s="19">
        <v>46092</v>
      </c>
      <c r="F89" s="19">
        <v>46816</v>
      </c>
      <c r="G89" s="10">
        <v>300</v>
      </c>
      <c r="H89" s="6">
        <f>SUMIF(Analysis_FEFO!$E$5:$E$174, A89, Analysis_FEFO!$G$5:$G$174)</f>
        <v>0</v>
      </c>
      <c r="I89" s="6">
        <f t="shared" si="12"/>
        <v>300</v>
      </c>
      <c r="J89" s="11">
        <v>89000</v>
      </c>
      <c r="K89" s="11">
        <f t="shared" si="8"/>
        <v>26700000</v>
      </c>
      <c r="L89" s="7">
        <f t="shared" si="13"/>
        <v>0</v>
      </c>
      <c r="M89" s="48">
        <f t="shared" ca="1" si="9"/>
        <v>494</v>
      </c>
      <c r="N89" s="6" t="str">
        <f t="shared" ca="1" si="14"/>
        <v>SAFE</v>
      </c>
      <c r="O89" s="29">
        <f t="shared" si="10"/>
        <v>26700000</v>
      </c>
      <c r="P89" s="38">
        <f t="shared" ca="1" si="15"/>
        <v>0</v>
      </c>
      <c r="Q89" s="8" t="str">
        <f t="shared" ca="1" si="11"/>
        <v>SAFE</v>
      </c>
      <c r="R89" s="30" t="str" cm="1">
        <f t="array" aca="1" ref="R89" ca="1">_xlfn.IFS(Q89="EXPIRED", "WRITE-OFF", Q89="WARNING", "FlASH SALE ", Q89="CRITICAL", "FEFO PRIORITY", Q89="SAFE", "REGULAR SALES")</f>
        <v>REGULAR SALES</v>
      </c>
    </row>
    <row r="90" spans="1:18" x14ac:dyDescent="0.25">
      <c r="A90" s="4" t="s">
        <v>113</v>
      </c>
      <c r="B90" s="4" t="s">
        <v>16</v>
      </c>
      <c r="C90" s="5" t="s">
        <v>17</v>
      </c>
      <c r="D90" s="23" t="s">
        <v>6</v>
      </c>
      <c r="E90" s="18">
        <v>45907</v>
      </c>
      <c r="F90" s="18">
        <v>46636</v>
      </c>
      <c r="G90" s="6">
        <v>300</v>
      </c>
      <c r="H90" s="6">
        <f>SUMIF(Analysis_FEFO!$E$5:$E$174, A90, Analysis_FEFO!$G$5:$G$174)</f>
        <v>0</v>
      </c>
      <c r="I90" s="6">
        <f t="shared" si="12"/>
        <v>300</v>
      </c>
      <c r="J90" s="7">
        <v>63000</v>
      </c>
      <c r="K90" s="7">
        <f t="shared" si="8"/>
        <v>18900000</v>
      </c>
      <c r="L90" s="7">
        <f t="shared" si="13"/>
        <v>0</v>
      </c>
      <c r="M90" s="48">
        <f t="shared" ca="1" si="9"/>
        <v>314</v>
      </c>
      <c r="N90" s="6" t="str">
        <f t="shared" ca="1" si="14"/>
        <v>SAFE</v>
      </c>
      <c r="O90" s="29">
        <f t="shared" si="10"/>
        <v>18900000</v>
      </c>
      <c r="P90" s="38">
        <f t="shared" ca="1" si="15"/>
        <v>0</v>
      </c>
      <c r="Q90" s="4" t="str">
        <f t="shared" ca="1" si="11"/>
        <v>SAFE</v>
      </c>
      <c r="R90" s="30" t="str" cm="1">
        <f t="array" aca="1" ref="R90" ca="1">_xlfn.IFS(Q90="EXPIRED", "WRITE-OFF", Q90="WARNING", "FlASH SALE ", Q90="CRITICAL", "FEFO PRIORITY", Q90="SAFE", "REGULAR SALES")</f>
        <v>REGULAR SALES</v>
      </c>
    </row>
    <row r="91" spans="1:18" x14ac:dyDescent="0.25">
      <c r="A91" s="8" t="s">
        <v>114</v>
      </c>
      <c r="B91" s="8" t="s">
        <v>16</v>
      </c>
      <c r="C91" s="9" t="s">
        <v>17</v>
      </c>
      <c r="D91" s="24" t="s">
        <v>6</v>
      </c>
      <c r="E91" s="19">
        <v>45959</v>
      </c>
      <c r="F91" s="19">
        <v>46490</v>
      </c>
      <c r="G91" s="10">
        <v>100</v>
      </c>
      <c r="H91" s="6">
        <f>SUMIF(Analysis_FEFO!$E$5:$E$174, A91, Analysis_FEFO!$G$5:$G$174)</f>
        <v>0</v>
      </c>
      <c r="I91" s="6">
        <f t="shared" si="12"/>
        <v>100</v>
      </c>
      <c r="J91" s="11">
        <v>69000</v>
      </c>
      <c r="K91" s="11">
        <f t="shared" si="8"/>
        <v>6900000</v>
      </c>
      <c r="L91" s="7">
        <f t="shared" si="13"/>
        <v>0</v>
      </c>
      <c r="M91" s="48">
        <f t="shared" ca="1" si="9"/>
        <v>168</v>
      </c>
      <c r="N91" s="6" t="str">
        <f t="shared" ca="1" si="14"/>
        <v>SAFE</v>
      </c>
      <c r="O91" s="29">
        <f t="shared" si="10"/>
        <v>6900000</v>
      </c>
      <c r="P91" s="38">
        <f t="shared" ca="1" si="15"/>
        <v>0</v>
      </c>
      <c r="Q91" s="8" t="str">
        <f t="shared" ca="1" si="11"/>
        <v>WARNING</v>
      </c>
      <c r="R91" s="30" t="str" cm="1">
        <f t="array" aca="1" ref="R91" ca="1">_xlfn.IFS(Q91="EXPIRED", "WRITE-OFF", Q91="WARNING", "FlASH SALE ", Q91="CRITICAL", "FEFO PRIORITY", Q91="SAFE", "REGULAR SALES")</f>
        <v xml:space="preserve">FlASH SALE </v>
      </c>
    </row>
    <row r="92" spans="1:18" x14ac:dyDescent="0.25">
      <c r="A92" s="4" t="s">
        <v>115</v>
      </c>
      <c r="B92" s="4" t="s">
        <v>33</v>
      </c>
      <c r="C92" s="5" t="s">
        <v>34</v>
      </c>
      <c r="D92" s="23" t="s">
        <v>35</v>
      </c>
      <c r="E92" s="18">
        <v>46031</v>
      </c>
      <c r="F92" s="18">
        <v>46899</v>
      </c>
      <c r="G92" s="6">
        <v>750</v>
      </c>
      <c r="H92" s="6">
        <f>SUMIF(Analysis_FEFO!$E$5:$E$174, A92, Analysis_FEFO!$G$5:$G$174)</f>
        <v>0</v>
      </c>
      <c r="I92" s="6">
        <f t="shared" si="12"/>
        <v>750</v>
      </c>
      <c r="J92" s="7">
        <v>62000</v>
      </c>
      <c r="K92" s="7">
        <f t="shared" si="8"/>
        <v>46500000</v>
      </c>
      <c r="L92" s="7">
        <f t="shared" si="13"/>
        <v>0</v>
      </c>
      <c r="M92" s="48">
        <f t="shared" ca="1" si="9"/>
        <v>577</v>
      </c>
      <c r="N92" s="6" t="str">
        <f t="shared" ca="1" si="14"/>
        <v>SAFE</v>
      </c>
      <c r="O92" s="29">
        <f t="shared" si="10"/>
        <v>46500000</v>
      </c>
      <c r="P92" s="38">
        <f t="shared" ca="1" si="15"/>
        <v>0</v>
      </c>
      <c r="Q92" s="4" t="str">
        <f t="shared" ca="1" si="11"/>
        <v>SAFE</v>
      </c>
      <c r="R92" s="30" t="str" cm="1">
        <f t="array" aca="1" ref="R92" ca="1">_xlfn.IFS(Q92="EXPIRED", "WRITE-OFF", Q92="WARNING", "FlASH SALE ", Q92="CRITICAL", "FEFO PRIORITY", Q92="SAFE", "REGULAR SALES")</f>
        <v>REGULAR SALES</v>
      </c>
    </row>
    <row r="93" spans="1:18" x14ac:dyDescent="0.25">
      <c r="A93" s="8" t="s">
        <v>116</v>
      </c>
      <c r="B93" s="8" t="s">
        <v>25</v>
      </c>
      <c r="C93" s="9" t="s">
        <v>26</v>
      </c>
      <c r="D93" s="24" t="s">
        <v>27</v>
      </c>
      <c r="E93" s="19">
        <v>46047</v>
      </c>
      <c r="F93" s="19">
        <v>46922</v>
      </c>
      <c r="G93" s="10">
        <v>500</v>
      </c>
      <c r="H93" s="6">
        <f>SUMIF(Analysis_FEFO!$E$5:$E$174, A93, Analysis_FEFO!$G$5:$G$174)</f>
        <v>100</v>
      </c>
      <c r="I93" s="6">
        <f t="shared" si="12"/>
        <v>400</v>
      </c>
      <c r="J93" s="11">
        <v>55000</v>
      </c>
      <c r="K93" s="11">
        <f t="shared" si="8"/>
        <v>27500000</v>
      </c>
      <c r="L93" s="7">
        <f t="shared" si="13"/>
        <v>5500000</v>
      </c>
      <c r="M93" s="48">
        <f t="shared" ca="1" si="9"/>
        <v>600</v>
      </c>
      <c r="N93" s="6" t="str">
        <f t="shared" ca="1" si="14"/>
        <v>SAFE</v>
      </c>
      <c r="O93" s="29">
        <f t="shared" si="10"/>
        <v>22000000</v>
      </c>
      <c r="P93" s="38">
        <f t="shared" ca="1" si="15"/>
        <v>0</v>
      </c>
      <c r="Q93" s="8" t="str">
        <f t="shared" ca="1" si="11"/>
        <v>SAFE</v>
      </c>
      <c r="R93" s="30" t="str" cm="1">
        <f t="array" aca="1" ref="R93" ca="1">_xlfn.IFS(Q93="EXPIRED", "WRITE-OFF", Q93="WARNING", "FlASH SALE ", Q93="CRITICAL", "FEFO PRIORITY", Q93="SAFE", "REGULAR SALES")</f>
        <v>REGULAR SALES</v>
      </c>
    </row>
    <row r="94" spans="1:18" x14ac:dyDescent="0.25">
      <c r="A94" s="4" t="s">
        <v>117</v>
      </c>
      <c r="B94" s="4" t="s">
        <v>12</v>
      </c>
      <c r="C94" s="5" t="s">
        <v>13</v>
      </c>
      <c r="D94" s="23" t="s">
        <v>14</v>
      </c>
      <c r="E94" s="18">
        <v>45815</v>
      </c>
      <c r="F94" s="18">
        <v>46807</v>
      </c>
      <c r="G94" s="6">
        <v>100</v>
      </c>
      <c r="H94" s="6">
        <f>SUMIF(Analysis_FEFO!$E$5:$E$174, A94, Analysis_FEFO!$G$5:$G$174)</f>
        <v>100</v>
      </c>
      <c r="I94" s="6">
        <f t="shared" si="12"/>
        <v>0</v>
      </c>
      <c r="J94" s="7">
        <v>29000</v>
      </c>
      <c r="K94" s="7">
        <f t="shared" si="8"/>
        <v>2900000</v>
      </c>
      <c r="L94" s="7">
        <f t="shared" si="13"/>
        <v>2900000</v>
      </c>
      <c r="M94" s="48">
        <f t="shared" ca="1" si="9"/>
        <v>485</v>
      </c>
      <c r="N94" s="6" t="str">
        <f t="shared" ca="1" si="14"/>
        <v>SAFE</v>
      </c>
      <c r="O94" s="29">
        <f t="shared" si="10"/>
        <v>0</v>
      </c>
      <c r="P94" s="38">
        <f t="shared" ca="1" si="15"/>
        <v>0</v>
      </c>
      <c r="Q94" s="4" t="str">
        <f t="shared" ca="1" si="11"/>
        <v>SAFE</v>
      </c>
      <c r="R94" s="30" t="str" cm="1">
        <f t="array" aca="1" ref="R94" ca="1">_xlfn.IFS(Q94="EXPIRED", "WRITE-OFF", Q94="WARNING", "FlASH SALE ", Q94="CRITICAL", "FEFO PRIORITY", Q94="SAFE", "REGULAR SALES")</f>
        <v>REGULAR SALES</v>
      </c>
    </row>
    <row r="95" spans="1:18" x14ac:dyDescent="0.25">
      <c r="A95" s="8" t="s">
        <v>118</v>
      </c>
      <c r="B95" s="8" t="s">
        <v>33</v>
      </c>
      <c r="C95" s="9" t="s">
        <v>34</v>
      </c>
      <c r="D95" s="24" t="s">
        <v>35</v>
      </c>
      <c r="E95" s="19">
        <v>46002</v>
      </c>
      <c r="F95" s="19">
        <v>46872</v>
      </c>
      <c r="G95" s="10">
        <v>200</v>
      </c>
      <c r="H95" s="6">
        <f>SUMIF(Analysis_FEFO!$E$5:$E$174, A95, Analysis_FEFO!$G$5:$G$174)</f>
        <v>0</v>
      </c>
      <c r="I95" s="6">
        <f t="shared" si="12"/>
        <v>200</v>
      </c>
      <c r="J95" s="11">
        <v>59000</v>
      </c>
      <c r="K95" s="11">
        <f t="shared" si="8"/>
        <v>11800000</v>
      </c>
      <c r="L95" s="7">
        <f t="shared" si="13"/>
        <v>0</v>
      </c>
      <c r="M95" s="48">
        <f t="shared" ca="1" si="9"/>
        <v>550</v>
      </c>
      <c r="N95" s="6" t="str">
        <f t="shared" ca="1" si="14"/>
        <v>SAFE</v>
      </c>
      <c r="O95" s="29">
        <f t="shared" si="10"/>
        <v>11800000</v>
      </c>
      <c r="P95" s="38">
        <f t="shared" ca="1" si="15"/>
        <v>0</v>
      </c>
      <c r="Q95" s="8" t="str">
        <f t="shared" ca="1" si="11"/>
        <v>SAFE</v>
      </c>
      <c r="R95" s="30" t="str" cm="1">
        <f t="array" aca="1" ref="R95" ca="1">_xlfn.IFS(Q95="EXPIRED", "WRITE-OFF", Q95="WARNING", "FlASH SALE ", Q95="CRITICAL", "FEFO PRIORITY", Q95="SAFE", "REGULAR SALES")</f>
        <v>REGULAR SALES</v>
      </c>
    </row>
    <row r="96" spans="1:18" x14ac:dyDescent="0.25">
      <c r="A96" s="4" t="s">
        <v>119</v>
      </c>
      <c r="B96" s="4" t="s">
        <v>19</v>
      </c>
      <c r="C96" s="5" t="s">
        <v>20</v>
      </c>
      <c r="D96" s="23" t="s">
        <v>21</v>
      </c>
      <c r="E96" s="18">
        <v>45953</v>
      </c>
      <c r="F96" s="18">
        <v>46682</v>
      </c>
      <c r="G96" s="6">
        <v>300</v>
      </c>
      <c r="H96" s="6">
        <f>SUMIF(Analysis_FEFO!$E$5:$E$174, A96, Analysis_FEFO!$G$5:$G$174)</f>
        <v>0</v>
      </c>
      <c r="I96" s="6">
        <f t="shared" si="12"/>
        <v>300</v>
      </c>
      <c r="J96" s="7">
        <v>48000</v>
      </c>
      <c r="K96" s="7">
        <f t="shared" si="8"/>
        <v>14400000</v>
      </c>
      <c r="L96" s="7">
        <f t="shared" si="13"/>
        <v>0</v>
      </c>
      <c r="M96" s="48">
        <f t="shared" ca="1" si="9"/>
        <v>360</v>
      </c>
      <c r="N96" s="6" t="str">
        <f t="shared" ca="1" si="14"/>
        <v>SAFE</v>
      </c>
      <c r="O96" s="29">
        <f t="shared" si="10"/>
        <v>14400000</v>
      </c>
      <c r="P96" s="38">
        <f t="shared" ca="1" si="15"/>
        <v>0</v>
      </c>
      <c r="Q96" s="4" t="str">
        <f t="shared" ca="1" si="11"/>
        <v>SAFE</v>
      </c>
      <c r="R96" s="30" t="str" cm="1">
        <f t="array" aca="1" ref="R96" ca="1">_xlfn.IFS(Q96="EXPIRED", "WRITE-OFF", Q96="WARNING", "FlASH SALE ", Q96="CRITICAL", "FEFO PRIORITY", Q96="SAFE", "REGULAR SALES")</f>
        <v>REGULAR SALES</v>
      </c>
    </row>
    <row r="97" spans="1:18" x14ac:dyDescent="0.25">
      <c r="A97" s="8" t="s">
        <v>120</v>
      </c>
      <c r="B97" s="8" t="s">
        <v>12</v>
      </c>
      <c r="C97" s="9" t="s">
        <v>13</v>
      </c>
      <c r="D97" s="24" t="s">
        <v>14</v>
      </c>
      <c r="E97" s="19">
        <v>46060</v>
      </c>
      <c r="F97" s="19">
        <v>46588</v>
      </c>
      <c r="G97" s="10">
        <v>250</v>
      </c>
      <c r="H97" s="6">
        <f>SUMIF(Analysis_FEFO!$E$5:$E$174, A97, Analysis_FEFO!$G$5:$G$174)</f>
        <v>0</v>
      </c>
      <c r="I97" s="6">
        <f t="shared" si="12"/>
        <v>250</v>
      </c>
      <c r="J97" s="11">
        <v>34000</v>
      </c>
      <c r="K97" s="11">
        <f t="shared" si="8"/>
        <v>8500000</v>
      </c>
      <c r="L97" s="7">
        <f t="shared" si="13"/>
        <v>0</v>
      </c>
      <c r="M97" s="48">
        <f t="shared" ca="1" si="9"/>
        <v>266</v>
      </c>
      <c r="N97" s="6" t="str">
        <f t="shared" ca="1" si="14"/>
        <v>SAFE</v>
      </c>
      <c r="O97" s="29">
        <f t="shared" si="10"/>
        <v>8500000</v>
      </c>
      <c r="P97" s="38">
        <f t="shared" ca="1" si="15"/>
        <v>0</v>
      </c>
      <c r="Q97" s="8" t="str">
        <f t="shared" ca="1" si="11"/>
        <v>SAFE</v>
      </c>
      <c r="R97" s="30" t="str" cm="1">
        <f t="array" aca="1" ref="R97" ca="1">_xlfn.IFS(Q97="EXPIRED", "WRITE-OFF", Q97="WARNING", "FlASH SALE ", Q97="CRITICAL", "FEFO PRIORITY", Q97="SAFE", "REGULAR SALES")</f>
        <v>REGULAR SALES</v>
      </c>
    </row>
    <row r="98" spans="1:18" x14ac:dyDescent="0.25">
      <c r="A98" s="4" t="s">
        <v>121</v>
      </c>
      <c r="B98" s="4" t="s">
        <v>33</v>
      </c>
      <c r="C98" s="5" t="s">
        <v>34</v>
      </c>
      <c r="D98" s="23" t="s">
        <v>35</v>
      </c>
      <c r="E98" s="18">
        <v>45827</v>
      </c>
      <c r="F98" s="18">
        <v>47060</v>
      </c>
      <c r="G98" s="6">
        <v>200</v>
      </c>
      <c r="H98" s="6">
        <f>SUMIF(Analysis_FEFO!$E$5:$E$174, A98, Analysis_FEFO!$G$5:$G$174)</f>
        <v>200</v>
      </c>
      <c r="I98" s="6">
        <f t="shared" si="12"/>
        <v>0</v>
      </c>
      <c r="J98" s="7">
        <v>53000</v>
      </c>
      <c r="K98" s="7">
        <f t="shared" si="8"/>
        <v>10600000</v>
      </c>
      <c r="L98" s="7">
        <f t="shared" si="13"/>
        <v>10600000</v>
      </c>
      <c r="M98" s="48">
        <f t="shared" ca="1" si="9"/>
        <v>738</v>
      </c>
      <c r="N98" s="6" t="str">
        <f t="shared" ca="1" si="14"/>
        <v>SAFE</v>
      </c>
      <c r="O98" s="29">
        <f t="shared" si="10"/>
        <v>0</v>
      </c>
      <c r="P98" s="38">
        <f t="shared" ca="1" si="15"/>
        <v>0</v>
      </c>
      <c r="Q98" s="4" t="str">
        <f t="shared" ca="1" si="11"/>
        <v>SAFE</v>
      </c>
      <c r="R98" s="30" t="str" cm="1">
        <f t="array" aca="1" ref="R98" ca="1">_xlfn.IFS(Q98="EXPIRED", "WRITE-OFF", Q98="WARNING", "FlASH SALE ", Q98="CRITICAL", "FEFO PRIORITY", Q98="SAFE", "REGULAR SALES")</f>
        <v>REGULAR SALES</v>
      </c>
    </row>
    <row r="99" spans="1:18" x14ac:dyDescent="0.25">
      <c r="A99" s="8" t="s">
        <v>122</v>
      </c>
      <c r="B99" s="8" t="s">
        <v>33</v>
      </c>
      <c r="C99" s="9" t="s">
        <v>34</v>
      </c>
      <c r="D99" s="24" t="s">
        <v>35</v>
      </c>
      <c r="E99" s="19">
        <v>45956</v>
      </c>
      <c r="F99" s="19">
        <v>46850</v>
      </c>
      <c r="G99" s="10">
        <v>500</v>
      </c>
      <c r="H99" s="6">
        <f>SUMIF(Analysis_FEFO!$E$5:$E$174, A99, Analysis_FEFO!$G$5:$G$174)</f>
        <v>0</v>
      </c>
      <c r="I99" s="6">
        <f t="shared" si="12"/>
        <v>500</v>
      </c>
      <c r="J99" s="11">
        <v>58000</v>
      </c>
      <c r="K99" s="11">
        <f t="shared" si="8"/>
        <v>29000000</v>
      </c>
      <c r="L99" s="7">
        <f t="shared" si="13"/>
        <v>0</v>
      </c>
      <c r="M99" s="48">
        <f t="shared" ca="1" si="9"/>
        <v>528</v>
      </c>
      <c r="N99" s="6" t="str">
        <f t="shared" ca="1" si="14"/>
        <v>SAFE</v>
      </c>
      <c r="O99" s="29">
        <f t="shared" si="10"/>
        <v>29000000</v>
      </c>
      <c r="P99" s="38">
        <f t="shared" ca="1" si="15"/>
        <v>0</v>
      </c>
      <c r="Q99" s="8" t="str">
        <f t="shared" ca="1" si="11"/>
        <v>SAFE</v>
      </c>
      <c r="R99" s="30" t="str" cm="1">
        <f t="array" aca="1" ref="R99" ca="1">_xlfn.IFS(Q99="EXPIRED", "WRITE-OFF", Q99="WARNING", "FlASH SALE ", Q99="CRITICAL", "FEFO PRIORITY", Q99="SAFE", "REGULAR SALES")</f>
        <v>REGULAR SALES</v>
      </c>
    </row>
    <row r="100" spans="1:18" x14ac:dyDescent="0.25">
      <c r="A100" s="4" t="s">
        <v>123</v>
      </c>
      <c r="B100" s="4" t="s">
        <v>19</v>
      </c>
      <c r="C100" s="5" t="s">
        <v>20</v>
      </c>
      <c r="D100" s="23" t="s">
        <v>21</v>
      </c>
      <c r="E100" s="18">
        <v>45998</v>
      </c>
      <c r="F100" s="18">
        <v>46280</v>
      </c>
      <c r="G100" s="6">
        <v>200</v>
      </c>
      <c r="H100" s="6">
        <f>SUMIF(Analysis_FEFO!$E$5:$E$174, A100, Analysis_FEFO!$G$5:$G$174)</f>
        <v>0</v>
      </c>
      <c r="I100" s="6">
        <f t="shared" si="12"/>
        <v>200</v>
      </c>
      <c r="J100" s="7">
        <v>52000</v>
      </c>
      <c r="K100" s="7">
        <f t="shared" si="8"/>
        <v>10400000</v>
      </c>
      <c r="L100" s="7">
        <f t="shared" si="13"/>
        <v>0</v>
      </c>
      <c r="M100" s="48">
        <f t="shared" ca="1" si="9"/>
        <v>-42</v>
      </c>
      <c r="N100" s="6" t="str">
        <f t="shared" ca="1" si="14"/>
        <v>EXPIRED</v>
      </c>
      <c r="O100" s="29">
        <f t="shared" si="10"/>
        <v>10400000</v>
      </c>
      <c r="P100" s="38">
        <f t="shared" ca="1" si="15"/>
        <v>10400000</v>
      </c>
      <c r="Q100" s="4" t="str">
        <f t="shared" ca="1" si="11"/>
        <v>EXPIRED</v>
      </c>
      <c r="R100" s="30" t="str" cm="1">
        <f t="array" aca="1" ref="R100" ca="1">_xlfn.IFS(Q100="EXPIRED", "WRITE-OFF", Q100="WARNING", "FlASH SALE ", Q100="CRITICAL", "FEFO PRIORITY", Q100="SAFE", "REGULAR SALES")</f>
        <v>WRITE-OFF</v>
      </c>
    </row>
    <row r="101" spans="1:18" x14ac:dyDescent="0.25">
      <c r="A101" s="8" t="s">
        <v>124</v>
      </c>
      <c r="B101" s="8" t="s">
        <v>19</v>
      </c>
      <c r="C101" s="9" t="s">
        <v>20</v>
      </c>
      <c r="D101" s="24" t="s">
        <v>21</v>
      </c>
      <c r="E101" s="19">
        <v>45925</v>
      </c>
      <c r="F101" s="19">
        <v>46641</v>
      </c>
      <c r="G101" s="10">
        <v>1000</v>
      </c>
      <c r="H101" s="6">
        <f>SUMIF(Analysis_FEFO!$E$5:$E$174, A101, Analysis_FEFO!$G$5:$G$174)</f>
        <v>0</v>
      </c>
      <c r="I101" s="6">
        <f t="shared" si="12"/>
        <v>1000</v>
      </c>
      <c r="J101" s="11">
        <v>49000</v>
      </c>
      <c r="K101" s="11">
        <f t="shared" si="8"/>
        <v>49000000</v>
      </c>
      <c r="L101" s="7">
        <f t="shared" si="13"/>
        <v>0</v>
      </c>
      <c r="M101" s="48">
        <f t="shared" ca="1" si="9"/>
        <v>319</v>
      </c>
      <c r="N101" s="6" t="str">
        <f t="shared" ca="1" si="14"/>
        <v>SAFE</v>
      </c>
      <c r="O101" s="29">
        <f t="shared" si="10"/>
        <v>49000000</v>
      </c>
      <c r="P101" s="38">
        <f t="shared" ca="1" si="15"/>
        <v>0</v>
      </c>
      <c r="Q101" s="8" t="str">
        <f t="shared" ca="1" si="11"/>
        <v>SAFE</v>
      </c>
      <c r="R101" s="30" t="str" cm="1">
        <f t="array" aca="1" ref="R101" ca="1">_xlfn.IFS(Q101="EXPIRED", "WRITE-OFF", Q101="WARNING", "FlASH SALE ", Q101="CRITICAL", "FEFO PRIORITY", Q101="SAFE", "REGULAR SALES")</f>
        <v>REGULAR SALES</v>
      </c>
    </row>
    <row r="102" spans="1:18" x14ac:dyDescent="0.25">
      <c r="A102" s="4" t="s">
        <v>125</v>
      </c>
      <c r="B102" s="4" t="s">
        <v>16</v>
      </c>
      <c r="C102" s="5" t="s">
        <v>17</v>
      </c>
      <c r="D102" s="23" t="s">
        <v>6</v>
      </c>
      <c r="E102" s="18">
        <v>45888</v>
      </c>
      <c r="F102" s="18">
        <v>46608</v>
      </c>
      <c r="G102" s="6">
        <v>750</v>
      </c>
      <c r="H102" s="6">
        <f>SUMIF(Analysis_FEFO!$E$5:$E$174, A102, Analysis_FEFO!$G$5:$G$174)</f>
        <v>0</v>
      </c>
      <c r="I102" s="6">
        <f t="shared" si="12"/>
        <v>750</v>
      </c>
      <c r="J102" s="7">
        <v>63000</v>
      </c>
      <c r="K102" s="7">
        <f t="shared" si="8"/>
        <v>47250000</v>
      </c>
      <c r="L102" s="7">
        <f t="shared" si="13"/>
        <v>0</v>
      </c>
      <c r="M102" s="48">
        <f t="shared" ca="1" si="9"/>
        <v>286</v>
      </c>
      <c r="N102" s="6" t="str">
        <f t="shared" ca="1" si="14"/>
        <v>SAFE</v>
      </c>
      <c r="O102" s="29">
        <f t="shared" si="10"/>
        <v>47250000</v>
      </c>
      <c r="P102" s="38">
        <f t="shared" ca="1" si="15"/>
        <v>0</v>
      </c>
      <c r="Q102" s="4" t="str">
        <f t="shared" ca="1" si="11"/>
        <v>SAFE</v>
      </c>
      <c r="R102" s="30" t="str" cm="1">
        <f t="array" aca="1" ref="R102" ca="1">_xlfn.IFS(Q102="EXPIRED", "WRITE-OFF", Q102="WARNING", "FlASH SALE ", Q102="CRITICAL", "FEFO PRIORITY", Q102="SAFE", "REGULAR SALES")</f>
        <v>REGULAR SALES</v>
      </c>
    </row>
    <row r="103" spans="1:18" x14ac:dyDescent="0.25">
      <c r="A103" s="8" t="s">
        <v>126</v>
      </c>
      <c r="B103" s="8" t="s">
        <v>8</v>
      </c>
      <c r="C103" s="9" t="s">
        <v>9</v>
      </c>
      <c r="D103" s="24" t="s">
        <v>10</v>
      </c>
      <c r="E103" s="19">
        <v>45955</v>
      </c>
      <c r="F103" s="19">
        <v>46677</v>
      </c>
      <c r="G103" s="10">
        <v>200</v>
      </c>
      <c r="H103" s="6">
        <f>SUMIF(Analysis_FEFO!$E$5:$E$174, A103, Analysis_FEFO!$G$5:$G$174)</f>
        <v>0</v>
      </c>
      <c r="I103" s="6">
        <f t="shared" si="12"/>
        <v>200</v>
      </c>
      <c r="J103" s="11">
        <v>32000</v>
      </c>
      <c r="K103" s="11">
        <f t="shared" si="8"/>
        <v>6400000</v>
      </c>
      <c r="L103" s="7">
        <f t="shared" si="13"/>
        <v>0</v>
      </c>
      <c r="M103" s="48">
        <f t="shared" ca="1" si="9"/>
        <v>355</v>
      </c>
      <c r="N103" s="6" t="str">
        <f t="shared" ca="1" si="14"/>
        <v>SAFE</v>
      </c>
      <c r="O103" s="29">
        <f t="shared" si="10"/>
        <v>6400000</v>
      </c>
      <c r="P103" s="38">
        <f t="shared" ca="1" si="15"/>
        <v>0</v>
      </c>
      <c r="Q103" s="8" t="str">
        <f t="shared" ca="1" si="11"/>
        <v>SAFE</v>
      </c>
      <c r="R103" s="30" t="str" cm="1">
        <f t="array" aca="1" ref="R103" ca="1">_xlfn.IFS(Q103="EXPIRED", "WRITE-OFF", Q103="WARNING", "FlASH SALE ", Q103="CRITICAL", "FEFO PRIORITY", Q103="SAFE", "REGULAR SALES")</f>
        <v>REGULAR SALES</v>
      </c>
    </row>
    <row r="104" spans="1:18" x14ac:dyDescent="0.25">
      <c r="A104" s="4" t="s">
        <v>127</v>
      </c>
      <c r="B104" s="4" t="s">
        <v>19</v>
      </c>
      <c r="C104" s="5" t="s">
        <v>20</v>
      </c>
      <c r="D104" s="23" t="s">
        <v>21</v>
      </c>
      <c r="E104" s="18">
        <v>45862</v>
      </c>
      <c r="F104" s="18">
        <v>46222</v>
      </c>
      <c r="G104" s="6">
        <v>500</v>
      </c>
      <c r="H104" s="6">
        <f>SUMIF(Analysis_FEFO!$E$5:$E$174, A104, Analysis_FEFO!$G$5:$G$174)</f>
        <v>0</v>
      </c>
      <c r="I104" s="6">
        <f t="shared" si="12"/>
        <v>500</v>
      </c>
      <c r="J104" s="7">
        <v>47000</v>
      </c>
      <c r="K104" s="7">
        <f t="shared" si="8"/>
        <v>23500000</v>
      </c>
      <c r="L104" s="7">
        <f t="shared" si="13"/>
        <v>0</v>
      </c>
      <c r="M104" s="48">
        <f t="shared" ca="1" si="9"/>
        <v>-100</v>
      </c>
      <c r="N104" s="6" t="str">
        <f t="shared" ca="1" si="14"/>
        <v>EXPIRED</v>
      </c>
      <c r="O104" s="29">
        <f t="shared" si="10"/>
        <v>23500000</v>
      </c>
      <c r="P104" s="38">
        <f t="shared" ca="1" si="15"/>
        <v>23500000</v>
      </c>
      <c r="Q104" s="4" t="str">
        <f t="shared" ca="1" si="11"/>
        <v>EXPIRED</v>
      </c>
      <c r="R104" s="30" t="str" cm="1">
        <f t="array" aca="1" ref="R104" ca="1">_xlfn.IFS(Q104="EXPIRED", "WRITE-OFF", Q104="WARNING", "FlASH SALE ", Q104="CRITICAL", "FEFO PRIORITY", Q104="SAFE", "REGULAR SALES")</f>
        <v>WRITE-OFF</v>
      </c>
    </row>
    <row r="105" spans="1:18" x14ac:dyDescent="0.25">
      <c r="A105" s="8" t="s">
        <v>128</v>
      </c>
      <c r="B105" s="8" t="s">
        <v>33</v>
      </c>
      <c r="C105" s="9" t="s">
        <v>34</v>
      </c>
      <c r="D105" s="24" t="s">
        <v>35</v>
      </c>
      <c r="E105" s="19">
        <v>46032</v>
      </c>
      <c r="F105" s="19">
        <v>46537</v>
      </c>
      <c r="G105" s="10">
        <v>250</v>
      </c>
      <c r="H105" s="6">
        <f>SUMIF(Analysis_FEFO!$E$5:$E$174, A105, Analysis_FEFO!$G$5:$G$174)</f>
        <v>0</v>
      </c>
      <c r="I105" s="6">
        <f t="shared" si="12"/>
        <v>250</v>
      </c>
      <c r="J105" s="11">
        <v>56000</v>
      </c>
      <c r="K105" s="11">
        <f t="shared" si="8"/>
        <v>14000000</v>
      </c>
      <c r="L105" s="7">
        <f t="shared" si="13"/>
        <v>0</v>
      </c>
      <c r="M105" s="48">
        <f t="shared" ca="1" si="9"/>
        <v>215</v>
      </c>
      <c r="N105" s="6" t="str">
        <f t="shared" ca="1" si="14"/>
        <v>SAFE</v>
      </c>
      <c r="O105" s="29">
        <f t="shared" si="10"/>
        <v>14000000</v>
      </c>
      <c r="P105" s="38">
        <f t="shared" ca="1" si="15"/>
        <v>0</v>
      </c>
      <c r="Q105" s="8" t="str">
        <f t="shared" ca="1" si="11"/>
        <v>SAFE</v>
      </c>
      <c r="R105" s="30" t="str" cm="1">
        <f t="array" aca="1" ref="R105" ca="1">_xlfn.IFS(Q105="EXPIRED", "WRITE-OFF", Q105="WARNING", "FlASH SALE ", Q105="CRITICAL", "FEFO PRIORITY", Q105="SAFE", "REGULAR SALES")</f>
        <v>REGULAR SALES</v>
      </c>
    </row>
    <row r="106" spans="1:18" x14ac:dyDescent="0.25">
      <c r="A106" s="4" t="s">
        <v>129</v>
      </c>
      <c r="B106" s="4" t="s">
        <v>29</v>
      </c>
      <c r="C106" s="5" t="s">
        <v>30</v>
      </c>
      <c r="D106" s="23" t="s">
        <v>10</v>
      </c>
      <c r="E106" s="18">
        <v>45930</v>
      </c>
      <c r="F106" s="18">
        <v>46485</v>
      </c>
      <c r="G106" s="6">
        <v>250</v>
      </c>
      <c r="H106" s="6">
        <f>SUMIF(Analysis_FEFO!$E$5:$E$174, A106, Analysis_FEFO!$G$5:$G$174)</f>
        <v>150</v>
      </c>
      <c r="I106" s="6">
        <f t="shared" si="12"/>
        <v>100</v>
      </c>
      <c r="J106" s="7">
        <v>28000</v>
      </c>
      <c r="K106" s="7">
        <f t="shared" si="8"/>
        <v>7000000</v>
      </c>
      <c r="L106" s="7">
        <f t="shared" si="13"/>
        <v>4200000</v>
      </c>
      <c r="M106" s="48">
        <f t="shared" ca="1" si="9"/>
        <v>163</v>
      </c>
      <c r="N106" s="6" t="str">
        <f t="shared" ca="1" si="14"/>
        <v>SAFE</v>
      </c>
      <c r="O106" s="29">
        <f t="shared" si="10"/>
        <v>2800000</v>
      </c>
      <c r="P106" s="38">
        <f t="shared" ca="1" si="15"/>
        <v>0</v>
      </c>
      <c r="Q106" s="4" t="str">
        <f t="shared" ca="1" si="11"/>
        <v>WARNING</v>
      </c>
      <c r="R106" s="30" t="str" cm="1">
        <f t="array" aca="1" ref="R106" ca="1">_xlfn.IFS(Q106="EXPIRED", "WRITE-OFF", Q106="WARNING", "FlASH SALE ", Q106="CRITICAL", "FEFO PRIORITY", Q106="SAFE", "REGULAR SALES")</f>
        <v xml:space="preserve">FlASH SALE </v>
      </c>
    </row>
    <row r="107" spans="1:18" x14ac:dyDescent="0.25">
      <c r="A107" s="8" t="s">
        <v>130</v>
      </c>
      <c r="B107" s="8" t="s">
        <v>25</v>
      </c>
      <c r="C107" s="9" t="s">
        <v>26</v>
      </c>
      <c r="D107" s="24" t="s">
        <v>27</v>
      </c>
      <c r="E107" s="19">
        <v>45836</v>
      </c>
      <c r="F107" s="19">
        <v>47075</v>
      </c>
      <c r="G107" s="10">
        <v>200</v>
      </c>
      <c r="H107" s="6">
        <f>SUMIF(Analysis_FEFO!$E$5:$E$174, A107, Analysis_FEFO!$G$5:$G$174)</f>
        <v>200</v>
      </c>
      <c r="I107" s="6">
        <f t="shared" si="12"/>
        <v>0</v>
      </c>
      <c r="J107" s="11">
        <v>65000</v>
      </c>
      <c r="K107" s="11">
        <f t="shared" si="8"/>
        <v>13000000</v>
      </c>
      <c r="L107" s="7">
        <f t="shared" si="13"/>
        <v>13000000</v>
      </c>
      <c r="M107" s="48">
        <f t="shared" ca="1" si="9"/>
        <v>753</v>
      </c>
      <c r="N107" s="6" t="str">
        <f t="shared" ca="1" si="14"/>
        <v>SAFE</v>
      </c>
      <c r="O107" s="29">
        <f t="shared" si="10"/>
        <v>0</v>
      </c>
      <c r="P107" s="38">
        <f t="shared" ca="1" si="15"/>
        <v>0</v>
      </c>
      <c r="Q107" s="8" t="str">
        <f t="shared" ca="1" si="11"/>
        <v>SAFE</v>
      </c>
      <c r="R107" s="30" t="str" cm="1">
        <f t="array" aca="1" ref="R107" ca="1">_xlfn.IFS(Q107="EXPIRED", "WRITE-OFF", Q107="WARNING", "FlASH SALE ", Q107="CRITICAL", "FEFO PRIORITY", Q107="SAFE", "REGULAR SALES")</f>
        <v>REGULAR SALES</v>
      </c>
    </row>
    <row r="108" spans="1:18" x14ac:dyDescent="0.25">
      <c r="A108" s="4" t="s">
        <v>131</v>
      </c>
      <c r="B108" s="4" t="s">
        <v>12</v>
      </c>
      <c r="C108" s="5" t="s">
        <v>13</v>
      </c>
      <c r="D108" s="23" t="s">
        <v>14</v>
      </c>
      <c r="E108" s="18">
        <v>45953</v>
      </c>
      <c r="F108" s="18">
        <v>46503</v>
      </c>
      <c r="G108" s="6">
        <v>500</v>
      </c>
      <c r="H108" s="6">
        <f>SUMIF(Analysis_FEFO!$E$5:$E$174, A108, Analysis_FEFO!$G$5:$G$174)</f>
        <v>500</v>
      </c>
      <c r="I108" s="6">
        <f t="shared" si="12"/>
        <v>0</v>
      </c>
      <c r="J108" s="7">
        <v>31000</v>
      </c>
      <c r="K108" s="7">
        <f t="shared" si="8"/>
        <v>15500000</v>
      </c>
      <c r="L108" s="7">
        <f t="shared" si="13"/>
        <v>15500000</v>
      </c>
      <c r="M108" s="48">
        <f t="shared" ca="1" si="9"/>
        <v>181</v>
      </c>
      <c r="N108" s="6" t="str">
        <f t="shared" ca="1" si="14"/>
        <v>SAFE</v>
      </c>
      <c r="O108" s="29">
        <f t="shared" si="10"/>
        <v>0</v>
      </c>
      <c r="P108" s="38">
        <f t="shared" ca="1" si="15"/>
        <v>0</v>
      </c>
      <c r="Q108" s="4" t="str">
        <f t="shared" ca="1" si="11"/>
        <v>SAFE</v>
      </c>
      <c r="R108" s="30" t="str" cm="1">
        <f t="array" aca="1" ref="R108" ca="1">_xlfn.IFS(Q108="EXPIRED", "WRITE-OFF", Q108="WARNING", "FlASH SALE ", Q108="CRITICAL", "FEFO PRIORITY", Q108="SAFE", "REGULAR SALES")</f>
        <v>REGULAR SALES</v>
      </c>
    </row>
    <row r="109" spans="1:18" x14ac:dyDescent="0.25">
      <c r="A109" s="8" t="s">
        <v>132</v>
      </c>
      <c r="B109" s="8" t="s">
        <v>8</v>
      </c>
      <c r="C109" s="9" t="s">
        <v>9</v>
      </c>
      <c r="D109" s="24" t="s">
        <v>10</v>
      </c>
      <c r="E109" s="19">
        <v>46061</v>
      </c>
      <c r="F109" s="19">
        <v>46784</v>
      </c>
      <c r="G109" s="10">
        <v>500</v>
      </c>
      <c r="H109" s="6">
        <f>SUMIF(Analysis_FEFO!$E$5:$E$174, A109, Analysis_FEFO!$G$5:$G$174)</f>
        <v>0</v>
      </c>
      <c r="I109" s="6">
        <f t="shared" si="12"/>
        <v>500</v>
      </c>
      <c r="J109" s="11">
        <v>38000</v>
      </c>
      <c r="K109" s="11">
        <f t="shared" si="8"/>
        <v>19000000</v>
      </c>
      <c r="L109" s="7">
        <f t="shared" si="13"/>
        <v>0</v>
      </c>
      <c r="M109" s="48">
        <f t="shared" ca="1" si="9"/>
        <v>462</v>
      </c>
      <c r="N109" s="6" t="str">
        <f t="shared" ca="1" si="14"/>
        <v>SAFE</v>
      </c>
      <c r="O109" s="29">
        <f t="shared" si="10"/>
        <v>19000000</v>
      </c>
      <c r="P109" s="38">
        <f t="shared" ca="1" si="15"/>
        <v>0</v>
      </c>
      <c r="Q109" s="8" t="str">
        <f t="shared" ca="1" si="11"/>
        <v>SAFE</v>
      </c>
      <c r="R109" s="30" t="str" cm="1">
        <f t="array" aca="1" ref="R109" ca="1">_xlfn.IFS(Q109="EXPIRED", "WRITE-OFF", Q109="WARNING", "FlASH SALE ", Q109="CRITICAL", "FEFO PRIORITY", Q109="SAFE", "REGULAR SALES")</f>
        <v>REGULAR SALES</v>
      </c>
    </row>
    <row r="110" spans="1:18" x14ac:dyDescent="0.25">
      <c r="A110" s="4" t="s">
        <v>133</v>
      </c>
      <c r="B110" s="4" t="s">
        <v>45</v>
      </c>
      <c r="C110" s="5" t="s">
        <v>46</v>
      </c>
      <c r="D110" s="23" t="s">
        <v>14</v>
      </c>
      <c r="E110" s="18">
        <v>45818</v>
      </c>
      <c r="F110" s="18">
        <v>46540</v>
      </c>
      <c r="G110" s="6">
        <v>300</v>
      </c>
      <c r="H110" s="6">
        <f>SUMIF(Analysis_FEFO!$E$5:$E$174, A110, Analysis_FEFO!$G$5:$G$174)</f>
        <v>0</v>
      </c>
      <c r="I110" s="6">
        <f t="shared" si="12"/>
        <v>300</v>
      </c>
      <c r="J110" s="7">
        <v>89000</v>
      </c>
      <c r="K110" s="7">
        <f t="shared" si="8"/>
        <v>26700000</v>
      </c>
      <c r="L110" s="7">
        <f t="shared" si="13"/>
        <v>0</v>
      </c>
      <c r="M110" s="48">
        <f t="shared" ca="1" si="9"/>
        <v>218</v>
      </c>
      <c r="N110" s="6" t="str">
        <f t="shared" ca="1" si="14"/>
        <v>SAFE</v>
      </c>
      <c r="O110" s="29">
        <f t="shared" si="10"/>
        <v>26700000</v>
      </c>
      <c r="P110" s="38">
        <f t="shared" ca="1" si="15"/>
        <v>0</v>
      </c>
      <c r="Q110" s="4" t="str">
        <f t="shared" ca="1" si="11"/>
        <v>SAFE</v>
      </c>
      <c r="R110" s="30" t="str" cm="1">
        <f t="array" aca="1" ref="R110" ca="1">_xlfn.IFS(Q110="EXPIRED", "WRITE-OFF", Q110="WARNING", "FlASH SALE ", Q110="CRITICAL", "FEFO PRIORITY", Q110="SAFE", "REGULAR SALES")</f>
        <v>REGULAR SALES</v>
      </c>
    </row>
    <row r="111" spans="1:18" x14ac:dyDescent="0.25">
      <c r="A111" s="8" t="s">
        <v>134</v>
      </c>
      <c r="B111" s="8" t="s">
        <v>4</v>
      </c>
      <c r="C111" s="9" t="s">
        <v>5</v>
      </c>
      <c r="D111" s="24" t="s">
        <v>6</v>
      </c>
      <c r="E111" s="19">
        <v>46097</v>
      </c>
      <c r="F111" s="19">
        <v>46639</v>
      </c>
      <c r="G111" s="10">
        <v>1000</v>
      </c>
      <c r="H111" s="6">
        <f>SUMIF(Analysis_FEFO!$E$5:$E$174, A111, Analysis_FEFO!$G$5:$G$174)</f>
        <v>0</v>
      </c>
      <c r="I111" s="6">
        <f t="shared" si="12"/>
        <v>1000</v>
      </c>
      <c r="J111" s="11">
        <v>75000</v>
      </c>
      <c r="K111" s="11">
        <f t="shared" si="8"/>
        <v>75000000</v>
      </c>
      <c r="L111" s="7">
        <f t="shared" si="13"/>
        <v>0</v>
      </c>
      <c r="M111" s="48">
        <f t="shared" ca="1" si="9"/>
        <v>317</v>
      </c>
      <c r="N111" s="6" t="str">
        <f t="shared" ca="1" si="14"/>
        <v>SAFE</v>
      </c>
      <c r="O111" s="29">
        <f t="shared" si="10"/>
        <v>75000000</v>
      </c>
      <c r="P111" s="38">
        <f t="shared" ca="1" si="15"/>
        <v>0</v>
      </c>
      <c r="Q111" s="8" t="str">
        <f t="shared" ca="1" si="11"/>
        <v>SAFE</v>
      </c>
      <c r="R111" s="30" t="str" cm="1">
        <f t="array" aca="1" ref="R111" ca="1">_xlfn.IFS(Q111="EXPIRED", "WRITE-OFF", Q111="WARNING", "FlASH SALE ", Q111="CRITICAL", "FEFO PRIORITY", Q111="SAFE", "REGULAR SALES")</f>
        <v>REGULAR SALES</v>
      </c>
    </row>
    <row r="112" spans="1:18" x14ac:dyDescent="0.25">
      <c r="A112" s="4" t="s">
        <v>135</v>
      </c>
      <c r="B112" s="4" t="s">
        <v>16</v>
      </c>
      <c r="C112" s="5" t="s">
        <v>17</v>
      </c>
      <c r="D112" s="23" t="s">
        <v>6</v>
      </c>
      <c r="E112" s="18">
        <v>46090</v>
      </c>
      <c r="F112" s="18">
        <v>46366</v>
      </c>
      <c r="G112" s="6">
        <v>500</v>
      </c>
      <c r="H112" s="6">
        <f>SUMIF(Analysis_FEFO!$E$5:$E$174, A112, Analysis_FEFO!$G$5:$G$174)</f>
        <v>0</v>
      </c>
      <c r="I112" s="6">
        <f t="shared" si="12"/>
        <v>500</v>
      </c>
      <c r="J112" s="7">
        <v>60000</v>
      </c>
      <c r="K112" s="7">
        <f t="shared" si="8"/>
        <v>30000000</v>
      </c>
      <c r="L112" s="7">
        <f t="shared" si="13"/>
        <v>0</v>
      </c>
      <c r="M112" s="48">
        <f t="shared" ca="1" si="9"/>
        <v>44</v>
      </c>
      <c r="N112" s="6" t="str">
        <f t="shared" ca="1" si="14"/>
        <v>SAFE</v>
      </c>
      <c r="O112" s="29">
        <f t="shared" si="10"/>
        <v>30000000</v>
      </c>
      <c r="P112" s="38">
        <f t="shared" ca="1" si="15"/>
        <v>30000000</v>
      </c>
      <c r="Q112" s="4" t="str">
        <f t="shared" ca="1" si="11"/>
        <v>CRITICAL</v>
      </c>
      <c r="R112" s="30" t="str" cm="1">
        <f t="array" aca="1" ref="R112" ca="1">_xlfn.IFS(Q112="EXPIRED", "WRITE-OFF", Q112="WARNING", "FlASH SALE ", Q112="CRITICAL", "FEFO PRIORITY", Q112="SAFE", "REGULAR SALES")</f>
        <v>FEFO PRIORITY</v>
      </c>
    </row>
    <row r="113" spans="1:18" x14ac:dyDescent="0.25">
      <c r="A113" s="8" t="s">
        <v>136</v>
      </c>
      <c r="B113" s="8" t="s">
        <v>19</v>
      </c>
      <c r="C113" s="9" t="s">
        <v>20</v>
      </c>
      <c r="D113" s="24" t="s">
        <v>21</v>
      </c>
      <c r="E113" s="19">
        <v>45906</v>
      </c>
      <c r="F113" s="19">
        <v>47077</v>
      </c>
      <c r="G113" s="10">
        <v>100</v>
      </c>
      <c r="H113" s="6">
        <f>SUMIF(Analysis_FEFO!$E$5:$E$174, A113, Analysis_FEFO!$G$5:$G$174)</f>
        <v>100</v>
      </c>
      <c r="I113" s="6">
        <f t="shared" si="12"/>
        <v>0</v>
      </c>
      <c r="J113" s="11">
        <v>51000</v>
      </c>
      <c r="K113" s="11">
        <f t="shared" si="8"/>
        <v>5100000</v>
      </c>
      <c r="L113" s="7">
        <f t="shared" si="13"/>
        <v>5100000</v>
      </c>
      <c r="M113" s="48">
        <f t="shared" ca="1" si="9"/>
        <v>755</v>
      </c>
      <c r="N113" s="6" t="str">
        <f t="shared" ca="1" si="14"/>
        <v>SAFE</v>
      </c>
      <c r="O113" s="29">
        <f t="shared" si="10"/>
        <v>0</v>
      </c>
      <c r="P113" s="38">
        <f t="shared" ca="1" si="15"/>
        <v>0</v>
      </c>
      <c r="Q113" s="8" t="str">
        <f t="shared" ca="1" si="11"/>
        <v>SAFE</v>
      </c>
      <c r="R113" s="30" t="str" cm="1">
        <f t="array" aca="1" ref="R113" ca="1">_xlfn.IFS(Q113="EXPIRED", "WRITE-OFF", Q113="WARNING", "FlASH SALE ", Q113="CRITICAL", "FEFO PRIORITY", Q113="SAFE", "REGULAR SALES")</f>
        <v>REGULAR SALES</v>
      </c>
    </row>
    <row r="114" spans="1:18" x14ac:dyDescent="0.25">
      <c r="A114" s="4" t="s">
        <v>137</v>
      </c>
      <c r="B114" s="4" t="s">
        <v>12</v>
      </c>
      <c r="C114" s="5" t="s">
        <v>13</v>
      </c>
      <c r="D114" s="23" t="s">
        <v>14</v>
      </c>
      <c r="E114" s="18">
        <v>46005</v>
      </c>
      <c r="F114" s="18">
        <v>46715</v>
      </c>
      <c r="G114" s="6">
        <v>750</v>
      </c>
      <c r="H114" s="6">
        <f>SUMIF(Analysis_FEFO!$E$5:$E$174, A114, Analysis_FEFO!$G$5:$G$174)</f>
        <v>0</v>
      </c>
      <c r="I114" s="6">
        <f t="shared" si="12"/>
        <v>750</v>
      </c>
      <c r="J114" s="7">
        <v>34000</v>
      </c>
      <c r="K114" s="7">
        <f t="shared" si="8"/>
        <v>25500000</v>
      </c>
      <c r="L114" s="7">
        <f t="shared" si="13"/>
        <v>0</v>
      </c>
      <c r="M114" s="48">
        <f t="shared" ca="1" si="9"/>
        <v>393</v>
      </c>
      <c r="N114" s="6" t="str">
        <f t="shared" ca="1" si="14"/>
        <v>SAFE</v>
      </c>
      <c r="O114" s="29">
        <f t="shared" si="10"/>
        <v>25500000</v>
      </c>
      <c r="P114" s="38">
        <f t="shared" ca="1" si="15"/>
        <v>0</v>
      </c>
      <c r="Q114" s="4" t="str">
        <f t="shared" ca="1" si="11"/>
        <v>SAFE</v>
      </c>
      <c r="R114" s="30" t="str" cm="1">
        <f t="array" aca="1" ref="R114" ca="1">_xlfn.IFS(Q114="EXPIRED", "WRITE-OFF", Q114="WARNING", "FlASH SALE ", Q114="CRITICAL", "FEFO PRIORITY", Q114="SAFE", "REGULAR SALES")</f>
        <v>REGULAR SALES</v>
      </c>
    </row>
    <row r="115" spans="1:18" x14ac:dyDescent="0.25">
      <c r="A115" s="8" t="s">
        <v>138</v>
      </c>
      <c r="B115" s="8" t="s">
        <v>16</v>
      </c>
      <c r="C115" s="9" t="s">
        <v>17</v>
      </c>
      <c r="D115" s="24" t="s">
        <v>6</v>
      </c>
      <c r="E115" s="19">
        <v>45861</v>
      </c>
      <c r="F115" s="19">
        <v>46575</v>
      </c>
      <c r="G115" s="10">
        <v>250</v>
      </c>
      <c r="H115" s="6">
        <f>SUMIF(Analysis_FEFO!$E$5:$E$174, A115, Analysis_FEFO!$G$5:$G$174)</f>
        <v>0</v>
      </c>
      <c r="I115" s="6">
        <f t="shared" si="12"/>
        <v>250</v>
      </c>
      <c r="J115" s="11">
        <v>64000</v>
      </c>
      <c r="K115" s="11">
        <f t="shared" si="8"/>
        <v>16000000</v>
      </c>
      <c r="L115" s="7">
        <f t="shared" si="13"/>
        <v>0</v>
      </c>
      <c r="M115" s="48">
        <f t="shared" ca="1" si="9"/>
        <v>253</v>
      </c>
      <c r="N115" s="6" t="str">
        <f t="shared" ca="1" si="14"/>
        <v>SAFE</v>
      </c>
      <c r="O115" s="29">
        <f t="shared" si="10"/>
        <v>16000000</v>
      </c>
      <c r="P115" s="38">
        <f t="shared" ca="1" si="15"/>
        <v>0</v>
      </c>
      <c r="Q115" s="8" t="str">
        <f t="shared" ca="1" si="11"/>
        <v>SAFE</v>
      </c>
      <c r="R115" s="30" t="str" cm="1">
        <f t="array" aca="1" ref="R115" ca="1">_xlfn.IFS(Q115="EXPIRED", "WRITE-OFF", Q115="WARNING", "FlASH SALE ", Q115="CRITICAL", "FEFO PRIORITY", Q115="SAFE", "REGULAR SALES")</f>
        <v>REGULAR SALES</v>
      </c>
    </row>
    <row r="116" spans="1:18" x14ac:dyDescent="0.25">
      <c r="A116" s="4" t="s">
        <v>139</v>
      </c>
      <c r="B116" s="4" t="s">
        <v>45</v>
      </c>
      <c r="C116" s="5" t="s">
        <v>46</v>
      </c>
      <c r="D116" s="23" t="s">
        <v>14</v>
      </c>
      <c r="E116" s="18">
        <v>45809</v>
      </c>
      <c r="F116" s="18">
        <v>46526</v>
      </c>
      <c r="G116" s="6">
        <v>200</v>
      </c>
      <c r="H116" s="6">
        <f>SUMIF(Analysis_FEFO!$E$5:$E$174, A116, Analysis_FEFO!$G$5:$G$174)</f>
        <v>0</v>
      </c>
      <c r="I116" s="6">
        <f t="shared" si="12"/>
        <v>200</v>
      </c>
      <c r="J116" s="7">
        <v>85000</v>
      </c>
      <c r="K116" s="7">
        <f t="shared" si="8"/>
        <v>17000000</v>
      </c>
      <c r="L116" s="7">
        <f t="shared" si="13"/>
        <v>0</v>
      </c>
      <c r="M116" s="48">
        <f t="shared" ca="1" si="9"/>
        <v>204</v>
      </c>
      <c r="N116" s="6" t="str">
        <f t="shared" ca="1" si="14"/>
        <v>SAFE</v>
      </c>
      <c r="O116" s="29">
        <f t="shared" si="10"/>
        <v>17000000</v>
      </c>
      <c r="P116" s="38">
        <f t="shared" ca="1" si="15"/>
        <v>0</v>
      </c>
      <c r="Q116" s="4" t="str">
        <f t="shared" ca="1" si="11"/>
        <v>SAFE</v>
      </c>
      <c r="R116" s="30" t="str" cm="1">
        <f t="array" aca="1" ref="R116" ca="1">_xlfn.IFS(Q116="EXPIRED", "WRITE-OFF", Q116="WARNING", "FlASH SALE ", Q116="CRITICAL", "FEFO PRIORITY", Q116="SAFE", "REGULAR SALES")</f>
        <v>REGULAR SALES</v>
      </c>
    </row>
    <row r="117" spans="1:18" x14ac:dyDescent="0.25">
      <c r="A117" s="8" t="s">
        <v>140</v>
      </c>
      <c r="B117" s="8" t="s">
        <v>19</v>
      </c>
      <c r="C117" s="9" t="s">
        <v>20</v>
      </c>
      <c r="D117" s="24" t="s">
        <v>21</v>
      </c>
      <c r="E117" s="19">
        <v>46096</v>
      </c>
      <c r="F117" s="19">
        <v>46543</v>
      </c>
      <c r="G117" s="10">
        <v>100</v>
      </c>
      <c r="H117" s="6">
        <f>SUMIF(Analysis_FEFO!$E$5:$E$174, A117, Analysis_FEFO!$G$5:$G$174)</f>
        <v>0</v>
      </c>
      <c r="I117" s="6">
        <f t="shared" si="12"/>
        <v>100</v>
      </c>
      <c r="J117" s="11">
        <v>46000</v>
      </c>
      <c r="K117" s="11">
        <f t="shared" si="8"/>
        <v>4600000</v>
      </c>
      <c r="L117" s="7">
        <f t="shared" si="13"/>
        <v>0</v>
      </c>
      <c r="M117" s="48">
        <f t="shared" ca="1" si="9"/>
        <v>221</v>
      </c>
      <c r="N117" s="6" t="str">
        <f t="shared" ca="1" si="14"/>
        <v>SAFE</v>
      </c>
      <c r="O117" s="29">
        <f t="shared" si="10"/>
        <v>4600000</v>
      </c>
      <c r="P117" s="38">
        <f t="shared" ca="1" si="15"/>
        <v>0</v>
      </c>
      <c r="Q117" s="8" t="str">
        <f t="shared" ca="1" si="11"/>
        <v>SAFE</v>
      </c>
      <c r="R117" s="30" t="str" cm="1">
        <f t="array" aca="1" ref="R117" ca="1">_xlfn.IFS(Q117="EXPIRED", "WRITE-OFF", Q117="WARNING", "FlASH SALE ", Q117="CRITICAL", "FEFO PRIORITY", Q117="SAFE", "REGULAR SALES")</f>
        <v>REGULAR SALES</v>
      </c>
    </row>
    <row r="118" spans="1:18" x14ac:dyDescent="0.25">
      <c r="A118" s="4" t="s">
        <v>141</v>
      </c>
      <c r="B118" s="4" t="s">
        <v>25</v>
      </c>
      <c r="C118" s="5" t="s">
        <v>26</v>
      </c>
      <c r="D118" s="23" t="s">
        <v>27</v>
      </c>
      <c r="E118" s="18">
        <v>45926</v>
      </c>
      <c r="F118" s="18">
        <v>46468</v>
      </c>
      <c r="G118" s="6">
        <v>750</v>
      </c>
      <c r="H118" s="6">
        <f>SUMIF(Analysis_FEFO!$E$5:$E$174, A118, Analysis_FEFO!$G$5:$G$174)</f>
        <v>0</v>
      </c>
      <c r="I118" s="6">
        <f t="shared" si="12"/>
        <v>750</v>
      </c>
      <c r="J118" s="7">
        <v>60000</v>
      </c>
      <c r="K118" s="7">
        <f t="shared" si="8"/>
        <v>45000000</v>
      </c>
      <c r="L118" s="7">
        <f t="shared" si="13"/>
        <v>0</v>
      </c>
      <c r="M118" s="48">
        <f t="shared" ca="1" si="9"/>
        <v>146</v>
      </c>
      <c r="N118" s="6" t="str">
        <f t="shared" ca="1" si="14"/>
        <v>SAFE</v>
      </c>
      <c r="O118" s="29">
        <f t="shared" si="10"/>
        <v>45000000</v>
      </c>
      <c r="P118" s="38">
        <f t="shared" ca="1" si="15"/>
        <v>0</v>
      </c>
      <c r="Q118" s="4" t="str">
        <f t="shared" ca="1" si="11"/>
        <v>WARNING</v>
      </c>
      <c r="R118" s="30" t="str" cm="1">
        <f t="array" aca="1" ref="R118" ca="1">_xlfn.IFS(Q118="EXPIRED", "WRITE-OFF", Q118="WARNING", "FlASH SALE ", Q118="CRITICAL", "FEFO PRIORITY", Q118="SAFE", "REGULAR SALES")</f>
        <v xml:space="preserve">FlASH SALE </v>
      </c>
    </row>
    <row r="119" spans="1:18" x14ac:dyDescent="0.25">
      <c r="A119" s="8" t="s">
        <v>142</v>
      </c>
      <c r="B119" s="8" t="s">
        <v>16</v>
      </c>
      <c r="C119" s="9" t="s">
        <v>17</v>
      </c>
      <c r="D119" s="24" t="s">
        <v>6</v>
      </c>
      <c r="E119" s="19">
        <v>46030</v>
      </c>
      <c r="F119" s="19">
        <v>46571</v>
      </c>
      <c r="G119" s="10">
        <v>200</v>
      </c>
      <c r="H119" s="6">
        <f>SUMIF(Analysis_FEFO!$E$5:$E$174, A119, Analysis_FEFO!$G$5:$G$174)</f>
        <v>0</v>
      </c>
      <c r="I119" s="6">
        <f t="shared" si="12"/>
        <v>200</v>
      </c>
      <c r="J119" s="11">
        <v>66000</v>
      </c>
      <c r="K119" s="11">
        <f t="shared" si="8"/>
        <v>13200000</v>
      </c>
      <c r="L119" s="7">
        <f t="shared" si="13"/>
        <v>0</v>
      </c>
      <c r="M119" s="48">
        <f t="shared" ca="1" si="9"/>
        <v>249</v>
      </c>
      <c r="N119" s="6" t="str">
        <f t="shared" ca="1" si="14"/>
        <v>SAFE</v>
      </c>
      <c r="O119" s="29">
        <f t="shared" si="10"/>
        <v>13200000</v>
      </c>
      <c r="P119" s="38">
        <f t="shared" ca="1" si="15"/>
        <v>0</v>
      </c>
      <c r="Q119" s="8" t="str">
        <f t="shared" ca="1" si="11"/>
        <v>SAFE</v>
      </c>
      <c r="R119" s="30" t="str" cm="1">
        <f t="array" aca="1" ref="R119" ca="1">_xlfn.IFS(Q119="EXPIRED", "WRITE-OFF", Q119="WARNING", "FlASH SALE ", Q119="CRITICAL", "FEFO PRIORITY", Q119="SAFE", "REGULAR SALES")</f>
        <v>REGULAR SALES</v>
      </c>
    </row>
    <row r="120" spans="1:18" x14ac:dyDescent="0.25">
      <c r="A120" s="4" t="s">
        <v>143</v>
      </c>
      <c r="B120" s="4" t="s">
        <v>16</v>
      </c>
      <c r="C120" s="5" t="s">
        <v>17</v>
      </c>
      <c r="D120" s="23" t="s">
        <v>6</v>
      </c>
      <c r="E120" s="18">
        <v>45874</v>
      </c>
      <c r="F120" s="18">
        <v>46405</v>
      </c>
      <c r="G120" s="6">
        <v>200</v>
      </c>
      <c r="H120" s="6">
        <f>SUMIF(Analysis_FEFO!$E$5:$E$174, A120, Analysis_FEFO!$G$5:$G$174)</f>
        <v>0</v>
      </c>
      <c r="I120" s="6">
        <f t="shared" si="12"/>
        <v>200</v>
      </c>
      <c r="J120" s="7">
        <v>71000</v>
      </c>
      <c r="K120" s="7">
        <f t="shared" si="8"/>
        <v>14200000</v>
      </c>
      <c r="L120" s="7">
        <f t="shared" si="13"/>
        <v>0</v>
      </c>
      <c r="M120" s="48">
        <f t="shared" ca="1" si="9"/>
        <v>83</v>
      </c>
      <c r="N120" s="6" t="str">
        <f t="shared" ca="1" si="14"/>
        <v>SAFE</v>
      </c>
      <c r="O120" s="29">
        <f t="shared" si="10"/>
        <v>14200000</v>
      </c>
      <c r="P120" s="38">
        <f t="shared" ca="1" si="15"/>
        <v>0</v>
      </c>
      <c r="Q120" s="4" t="str">
        <f t="shared" ca="1" si="11"/>
        <v>WARNING</v>
      </c>
      <c r="R120" s="30" t="str" cm="1">
        <f t="array" aca="1" ref="R120" ca="1">_xlfn.IFS(Q120="EXPIRED", "WRITE-OFF", Q120="WARNING", "FlASH SALE ", Q120="CRITICAL", "FEFO PRIORITY", Q120="SAFE", "REGULAR SALES")</f>
        <v xml:space="preserve">FlASH SALE </v>
      </c>
    </row>
    <row r="121" spans="1:18" x14ac:dyDescent="0.25">
      <c r="A121" s="8" t="s">
        <v>144</v>
      </c>
      <c r="B121" s="8" t="s">
        <v>25</v>
      </c>
      <c r="C121" s="9" t="s">
        <v>26</v>
      </c>
      <c r="D121" s="24" t="s">
        <v>27</v>
      </c>
      <c r="E121" s="19">
        <v>46102</v>
      </c>
      <c r="F121" s="19">
        <v>46464</v>
      </c>
      <c r="G121" s="10">
        <v>250</v>
      </c>
      <c r="H121" s="6">
        <f>SUMIF(Analysis_FEFO!$E$5:$E$174, A121, Analysis_FEFO!$G$5:$G$174)</f>
        <v>0</v>
      </c>
      <c r="I121" s="6">
        <f t="shared" si="12"/>
        <v>250</v>
      </c>
      <c r="J121" s="11">
        <v>65000</v>
      </c>
      <c r="K121" s="11">
        <f t="shared" si="8"/>
        <v>16250000</v>
      </c>
      <c r="L121" s="7">
        <f t="shared" si="13"/>
        <v>0</v>
      </c>
      <c r="M121" s="48">
        <f t="shared" ca="1" si="9"/>
        <v>142</v>
      </c>
      <c r="N121" s="6" t="str">
        <f t="shared" ca="1" si="14"/>
        <v>SAFE</v>
      </c>
      <c r="O121" s="29">
        <f t="shared" si="10"/>
        <v>16250000</v>
      </c>
      <c r="P121" s="38">
        <f t="shared" ca="1" si="15"/>
        <v>0</v>
      </c>
      <c r="Q121" s="8" t="str">
        <f t="shared" ca="1" si="11"/>
        <v>WARNING</v>
      </c>
      <c r="R121" s="30" t="str" cm="1">
        <f t="array" aca="1" ref="R121" ca="1">_xlfn.IFS(Q121="EXPIRED", "WRITE-OFF", Q121="WARNING", "FlASH SALE ", Q121="CRITICAL", "FEFO PRIORITY", Q121="SAFE", "REGULAR SALES")</f>
        <v xml:space="preserve">FlASH SALE </v>
      </c>
    </row>
    <row r="122" spans="1:18" x14ac:dyDescent="0.25">
      <c r="A122" s="4" t="s">
        <v>145</v>
      </c>
      <c r="B122" s="4" t="s">
        <v>8</v>
      </c>
      <c r="C122" s="5" t="s">
        <v>9</v>
      </c>
      <c r="D122" s="23" t="s">
        <v>10</v>
      </c>
      <c r="E122" s="18">
        <v>46057</v>
      </c>
      <c r="F122" s="18">
        <v>46425</v>
      </c>
      <c r="G122" s="6">
        <v>750</v>
      </c>
      <c r="H122" s="6">
        <f>SUMIF(Analysis_FEFO!$E$5:$E$174, A122, Analysis_FEFO!$G$5:$G$174)</f>
        <v>0</v>
      </c>
      <c r="I122" s="6">
        <f t="shared" si="12"/>
        <v>750</v>
      </c>
      <c r="J122" s="7">
        <v>37000</v>
      </c>
      <c r="K122" s="7">
        <f t="shared" si="8"/>
        <v>27750000</v>
      </c>
      <c r="L122" s="7">
        <f t="shared" si="13"/>
        <v>0</v>
      </c>
      <c r="M122" s="48">
        <f t="shared" ca="1" si="9"/>
        <v>103</v>
      </c>
      <c r="N122" s="6" t="str">
        <f t="shared" ca="1" si="14"/>
        <v>SAFE</v>
      </c>
      <c r="O122" s="29">
        <f t="shared" si="10"/>
        <v>27750000</v>
      </c>
      <c r="P122" s="38">
        <f t="shared" ca="1" si="15"/>
        <v>0</v>
      </c>
      <c r="Q122" s="4" t="str">
        <f t="shared" ca="1" si="11"/>
        <v>WARNING</v>
      </c>
      <c r="R122" s="30" t="str" cm="1">
        <f t="array" aca="1" ref="R122" ca="1">_xlfn.IFS(Q122="EXPIRED", "WRITE-OFF", Q122="WARNING", "FlASH SALE ", Q122="CRITICAL", "FEFO PRIORITY", Q122="SAFE", "REGULAR SALES")</f>
        <v xml:space="preserve">FlASH SALE </v>
      </c>
    </row>
    <row r="123" spans="1:18" x14ac:dyDescent="0.25">
      <c r="A123" s="8" t="s">
        <v>146</v>
      </c>
      <c r="B123" s="8" t="s">
        <v>4</v>
      </c>
      <c r="C123" s="9" t="s">
        <v>5</v>
      </c>
      <c r="D123" s="24" t="s">
        <v>6</v>
      </c>
      <c r="E123" s="19">
        <v>45914</v>
      </c>
      <c r="F123" s="19">
        <v>46443</v>
      </c>
      <c r="G123" s="10">
        <v>500</v>
      </c>
      <c r="H123" s="6">
        <f>SUMIF(Analysis_FEFO!$E$5:$E$174, A123, Analysis_FEFO!$G$5:$G$174)</f>
        <v>0</v>
      </c>
      <c r="I123" s="6">
        <f t="shared" si="12"/>
        <v>500</v>
      </c>
      <c r="J123" s="11">
        <v>84000</v>
      </c>
      <c r="K123" s="11">
        <f t="shared" si="8"/>
        <v>42000000</v>
      </c>
      <c r="L123" s="7">
        <f t="shared" si="13"/>
        <v>0</v>
      </c>
      <c r="M123" s="48">
        <f t="shared" ca="1" si="9"/>
        <v>121</v>
      </c>
      <c r="N123" s="6" t="str">
        <f t="shared" ca="1" si="14"/>
        <v>SAFE</v>
      </c>
      <c r="O123" s="29">
        <f t="shared" si="10"/>
        <v>42000000</v>
      </c>
      <c r="P123" s="38">
        <f t="shared" ca="1" si="15"/>
        <v>0</v>
      </c>
      <c r="Q123" s="8" t="str">
        <f t="shared" ca="1" si="11"/>
        <v>WARNING</v>
      </c>
      <c r="R123" s="30" t="str" cm="1">
        <f t="array" aca="1" ref="R123" ca="1">_xlfn.IFS(Q123="EXPIRED", "WRITE-OFF", Q123="WARNING", "FlASH SALE ", Q123="CRITICAL", "FEFO PRIORITY", Q123="SAFE", "REGULAR SALES")</f>
        <v xml:space="preserve">FlASH SALE </v>
      </c>
    </row>
    <row r="124" spans="1:18" x14ac:dyDescent="0.25">
      <c r="A124" s="4" t="s">
        <v>147</v>
      </c>
      <c r="B124" s="4" t="s">
        <v>29</v>
      </c>
      <c r="C124" s="5" t="s">
        <v>30</v>
      </c>
      <c r="D124" s="23" t="s">
        <v>10</v>
      </c>
      <c r="E124" s="18">
        <v>46081</v>
      </c>
      <c r="F124" s="18">
        <v>46634</v>
      </c>
      <c r="G124" s="6">
        <v>100</v>
      </c>
      <c r="H124" s="6">
        <f>SUMIF(Analysis_FEFO!$E$5:$E$174, A124, Analysis_FEFO!$G$5:$G$174)</f>
        <v>0</v>
      </c>
      <c r="I124" s="6">
        <f t="shared" si="12"/>
        <v>100</v>
      </c>
      <c r="J124" s="7">
        <v>30000</v>
      </c>
      <c r="K124" s="7">
        <f t="shared" si="8"/>
        <v>3000000</v>
      </c>
      <c r="L124" s="7">
        <f t="shared" si="13"/>
        <v>0</v>
      </c>
      <c r="M124" s="48">
        <f t="shared" ca="1" si="9"/>
        <v>312</v>
      </c>
      <c r="N124" s="6" t="str">
        <f t="shared" ca="1" si="14"/>
        <v>SAFE</v>
      </c>
      <c r="O124" s="29">
        <f t="shared" si="10"/>
        <v>3000000</v>
      </c>
      <c r="P124" s="38">
        <f t="shared" ca="1" si="15"/>
        <v>0</v>
      </c>
      <c r="Q124" s="4" t="str">
        <f t="shared" ca="1" si="11"/>
        <v>SAFE</v>
      </c>
      <c r="R124" s="30" t="str" cm="1">
        <f t="array" aca="1" ref="R124" ca="1">_xlfn.IFS(Q124="EXPIRED", "WRITE-OFF", Q124="WARNING", "FlASH SALE ", Q124="CRITICAL", "FEFO PRIORITY", Q124="SAFE", "REGULAR SALES")</f>
        <v>REGULAR SALES</v>
      </c>
    </row>
    <row r="125" spans="1:18" x14ac:dyDescent="0.25">
      <c r="A125" s="8" t="s">
        <v>148</v>
      </c>
      <c r="B125" s="8" t="s">
        <v>16</v>
      </c>
      <c r="C125" s="9" t="s">
        <v>17</v>
      </c>
      <c r="D125" s="24" t="s">
        <v>6</v>
      </c>
      <c r="E125" s="19">
        <v>46013</v>
      </c>
      <c r="F125" s="19">
        <v>46553</v>
      </c>
      <c r="G125" s="10">
        <v>200</v>
      </c>
      <c r="H125" s="6">
        <f>SUMIF(Analysis_FEFO!$E$5:$E$174, A125, Analysis_FEFO!$G$5:$G$174)</f>
        <v>0</v>
      </c>
      <c r="I125" s="6">
        <f t="shared" si="12"/>
        <v>200</v>
      </c>
      <c r="J125" s="11">
        <v>62000</v>
      </c>
      <c r="K125" s="11">
        <f t="shared" si="8"/>
        <v>12400000</v>
      </c>
      <c r="L125" s="7">
        <f t="shared" si="13"/>
        <v>0</v>
      </c>
      <c r="M125" s="48">
        <f t="shared" ca="1" si="9"/>
        <v>231</v>
      </c>
      <c r="N125" s="6" t="str">
        <f t="shared" ca="1" si="14"/>
        <v>SAFE</v>
      </c>
      <c r="O125" s="29">
        <f t="shared" si="10"/>
        <v>12400000</v>
      </c>
      <c r="P125" s="38">
        <f t="shared" ca="1" si="15"/>
        <v>0</v>
      </c>
      <c r="Q125" s="8" t="str">
        <f t="shared" ca="1" si="11"/>
        <v>SAFE</v>
      </c>
      <c r="R125" s="30" t="str" cm="1">
        <f t="array" aca="1" ref="R125" ca="1">_xlfn.IFS(Q125="EXPIRED", "WRITE-OFF", Q125="WARNING", "FlASH SALE ", Q125="CRITICAL", "FEFO PRIORITY", Q125="SAFE", "REGULAR SALES")</f>
        <v>REGULAR SALES</v>
      </c>
    </row>
    <row r="126" spans="1:18" x14ac:dyDescent="0.25">
      <c r="A126" s="4" t="s">
        <v>149</v>
      </c>
      <c r="B126" s="4" t="s">
        <v>45</v>
      </c>
      <c r="C126" s="5" t="s">
        <v>46</v>
      </c>
      <c r="D126" s="23" t="s">
        <v>14</v>
      </c>
      <c r="E126" s="18">
        <v>45959</v>
      </c>
      <c r="F126" s="18">
        <v>46469</v>
      </c>
      <c r="G126" s="6">
        <v>200</v>
      </c>
      <c r="H126" s="6">
        <f>SUMIF(Analysis_FEFO!$E$5:$E$174, A126, Analysis_FEFO!$G$5:$G$174)</f>
        <v>200</v>
      </c>
      <c r="I126" s="6">
        <f t="shared" si="12"/>
        <v>0</v>
      </c>
      <c r="J126" s="7">
        <v>92000</v>
      </c>
      <c r="K126" s="7">
        <f t="shared" si="8"/>
        <v>18400000</v>
      </c>
      <c r="L126" s="7">
        <f t="shared" si="13"/>
        <v>18400000</v>
      </c>
      <c r="M126" s="48">
        <f t="shared" ca="1" si="9"/>
        <v>147</v>
      </c>
      <c r="N126" s="6" t="str">
        <f t="shared" ca="1" si="14"/>
        <v>SAFE</v>
      </c>
      <c r="O126" s="29">
        <f t="shared" si="10"/>
        <v>0</v>
      </c>
      <c r="P126" s="38">
        <f t="shared" ca="1" si="15"/>
        <v>0</v>
      </c>
      <c r="Q126" s="4" t="str">
        <f t="shared" ca="1" si="11"/>
        <v>WARNING</v>
      </c>
      <c r="R126" s="30" t="str" cm="1">
        <f t="array" aca="1" ref="R126" ca="1">_xlfn.IFS(Q126="EXPIRED", "WRITE-OFF", Q126="WARNING", "FlASH SALE ", Q126="CRITICAL", "FEFO PRIORITY", Q126="SAFE", "REGULAR SALES")</f>
        <v xml:space="preserve">FlASH SALE </v>
      </c>
    </row>
    <row r="127" spans="1:18" x14ac:dyDescent="0.25">
      <c r="A127" s="8" t="s">
        <v>150</v>
      </c>
      <c r="B127" s="8" t="s">
        <v>53</v>
      </c>
      <c r="C127" s="9" t="s">
        <v>54</v>
      </c>
      <c r="D127" s="24" t="s">
        <v>35</v>
      </c>
      <c r="E127" s="19">
        <v>45992</v>
      </c>
      <c r="F127" s="19">
        <v>46980</v>
      </c>
      <c r="G127" s="10">
        <v>300</v>
      </c>
      <c r="H127" s="6">
        <f>SUMIF(Analysis_FEFO!$E$5:$E$174, A127, Analysis_FEFO!$G$5:$G$174)</f>
        <v>300</v>
      </c>
      <c r="I127" s="6">
        <f t="shared" si="12"/>
        <v>0</v>
      </c>
      <c r="J127" s="11">
        <v>49000</v>
      </c>
      <c r="K127" s="11">
        <f t="shared" si="8"/>
        <v>14700000</v>
      </c>
      <c r="L127" s="7">
        <f t="shared" si="13"/>
        <v>14700000</v>
      </c>
      <c r="M127" s="48">
        <f t="shared" ca="1" si="9"/>
        <v>658</v>
      </c>
      <c r="N127" s="6" t="str">
        <f t="shared" ca="1" si="14"/>
        <v>SAFE</v>
      </c>
      <c r="O127" s="29">
        <f t="shared" si="10"/>
        <v>0</v>
      </c>
      <c r="P127" s="38">
        <f t="shared" ca="1" si="15"/>
        <v>0</v>
      </c>
      <c r="Q127" s="8" t="str">
        <f t="shared" ca="1" si="11"/>
        <v>SAFE</v>
      </c>
      <c r="R127" s="30" t="str" cm="1">
        <f t="array" aca="1" ref="R127" ca="1">_xlfn.IFS(Q127="EXPIRED", "WRITE-OFF", Q127="WARNING", "FlASH SALE ", Q127="CRITICAL", "FEFO PRIORITY", Q127="SAFE", "REGULAR SALES")</f>
        <v>REGULAR SALES</v>
      </c>
    </row>
    <row r="128" spans="1:18" x14ac:dyDescent="0.25">
      <c r="A128" s="4" t="s">
        <v>151</v>
      </c>
      <c r="B128" s="4" t="s">
        <v>33</v>
      </c>
      <c r="C128" s="5" t="s">
        <v>34</v>
      </c>
      <c r="D128" s="23" t="s">
        <v>35</v>
      </c>
      <c r="E128" s="18">
        <v>45859</v>
      </c>
      <c r="F128" s="18">
        <v>46668</v>
      </c>
      <c r="G128" s="6">
        <v>250</v>
      </c>
      <c r="H128" s="6">
        <f>SUMIF(Analysis_FEFO!$E$5:$E$174, A128, Analysis_FEFO!$G$5:$G$174)</f>
        <v>250</v>
      </c>
      <c r="I128" s="6">
        <f t="shared" si="12"/>
        <v>0</v>
      </c>
      <c r="J128" s="7">
        <v>61000</v>
      </c>
      <c r="K128" s="7">
        <f t="shared" si="8"/>
        <v>15250000</v>
      </c>
      <c r="L128" s="7">
        <f t="shared" si="13"/>
        <v>15250000</v>
      </c>
      <c r="M128" s="48">
        <f t="shared" ca="1" si="9"/>
        <v>346</v>
      </c>
      <c r="N128" s="6" t="str">
        <f t="shared" ca="1" si="14"/>
        <v>SAFE</v>
      </c>
      <c r="O128" s="29">
        <f t="shared" si="10"/>
        <v>0</v>
      </c>
      <c r="P128" s="38">
        <f t="shared" ca="1" si="15"/>
        <v>0</v>
      </c>
      <c r="Q128" s="4" t="str">
        <f t="shared" ca="1" si="11"/>
        <v>SAFE</v>
      </c>
      <c r="R128" s="30" t="str" cm="1">
        <f t="array" aca="1" ref="R128" ca="1">_xlfn.IFS(Q128="EXPIRED", "WRITE-OFF", Q128="WARNING", "FlASH SALE ", Q128="CRITICAL", "FEFO PRIORITY", Q128="SAFE", "REGULAR SALES")</f>
        <v>REGULAR SALES</v>
      </c>
    </row>
    <row r="129" spans="1:18" x14ac:dyDescent="0.25">
      <c r="A129" s="8" t="s">
        <v>152</v>
      </c>
      <c r="B129" s="8" t="s">
        <v>12</v>
      </c>
      <c r="C129" s="9" t="s">
        <v>13</v>
      </c>
      <c r="D129" s="24" t="s">
        <v>14</v>
      </c>
      <c r="E129" s="19">
        <v>45809</v>
      </c>
      <c r="F129" s="19">
        <v>46530</v>
      </c>
      <c r="G129" s="10">
        <v>200</v>
      </c>
      <c r="H129" s="6">
        <f>SUMIF(Analysis_FEFO!$E$5:$E$174, A129, Analysis_FEFO!$G$5:$G$174)</f>
        <v>200</v>
      </c>
      <c r="I129" s="6">
        <f t="shared" si="12"/>
        <v>0</v>
      </c>
      <c r="J129" s="11">
        <v>29000</v>
      </c>
      <c r="K129" s="11">
        <f t="shared" si="8"/>
        <v>5800000</v>
      </c>
      <c r="L129" s="7">
        <f t="shared" si="13"/>
        <v>5800000</v>
      </c>
      <c r="M129" s="48">
        <f t="shared" ca="1" si="9"/>
        <v>208</v>
      </c>
      <c r="N129" s="6" t="str">
        <f t="shared" ca="1" si="14"/>
        <v>SAFE</v>
      </c>
      <c r="O129" s="29">
        <f t="shared" si="10"/>
        <v>0</v>
      </c>
      <c r="P129" s="38">
        <f t="shared" ca="1" si="15"/>
        <v>0</v>
      </c>
      <c r="Q129" s="8" t="str">
        <f t="shared" ca="1" si="11"/>
        <v>SAFE</v>
      </c>
      <c r="R129" s="30" t="str" cm="1">
        <f t="array" aca="1" ref="R129" ca="1">_xlfn.IFS(Q129="EXPIRED", "WRITE-OFF", Q129="WARNING", "FlASH SALE ", Q129="CRITICAL", "FEFO PRIORITY", Q129="SAFE", "REGULAR SALES")</f>
        <v>REGULAR SALES</v>
      </c>
    </row>
    <row r="130" spans="1:18" x14ac:dyDescent="0.25">
      <c r="A130" s="4" t="s">
        <v>153</v>
      </c>
      <c r="B130" s="4" t="s">
        <v>19</v>
      </c>
      <c r="C130" s="5" t="s">
        <v>20</v>
      </c>
      <c r="D130" s="23" t="s">
        <v>21</v>
      </c>
      <c r="E130" s="18">
        <v>45886</v>
      </c>
      <c r="F130" s="18">
        <v>46532</v>
      </c>
      <c r="G130" s="6">
        <v>100</v>
      </c>
      <c r="H130" s="6">
        <f>SUMIF(Analysis_FEFO!$E$5:$E$174, A130, Analysis_FEFO!$G$5:$G$174)</f>
        <v>0</v>
      </c>
      <c r="I130" s="6">
        <f t="shared" si="12"/>
        <v>100</v>
      </c>
      <c r="J130" s="7">
        <v>45000</v>
      </c>
      <c r="K130" s="7">
        <f t="shared" si="8"/>
        <v>4500000</v>
      </c>
      <c r="L130" s="7">
        <f t="shared" si="13"/>
        <v>0</v>
      </c>
      <c r="M130" s="48">
        <f t="shared" ca="1" si="9"/>
        <v>210</v>
      </c>
      <c r="N130" s="6" t="str">
        <f t="shared" ca="1" si="14"/>
        <v>SAFE</v>
      </c>
      <c r="O130" s="29">
        <f t="shared" si="10"/>
        <v>4500000</v>
      </c>
      <c r="P130" s="38">
        <f t="shared" ca="1" si="15"/>
        <v>0</v>
      </c>
      <c r="Q130" s="4" t="str">
        <f t="shared" ca="1" si="11"/>
        <v>SAFE</v>
      </c>
      <c r="R130" s="30" t="str" cm="1">
        <f t="array" aca="1" ref="R130" ca="1">_xlfn.IFS(Q130="EXPIRED", "WRITE-OFF", Q130="WARNING", "FlASH SALE ", Q130="CRITICAL", "FEFO PRIORITY", Q130="SAFE", "REGULAR SALES")</f>
        <v>REGULAR SALES</v>
      </c>
    </row>
    <row r="131" spans="1:18" x14ac:dyDescent="0.25">
      <c r="A131" s="8" t="s">
        <v>154</v>
      </c>
      <c r="B131" s="8" t="s">
        <v>45</v>
      </c>
      <c r="C131" s="9" t="s">
        <v>46</v>
      </c>
      <c r="D131" s="24" t="s">
        <v>14</v>
      </c>
      <c r="E131" s="19">
        <v>46022</v>
      </c>
      <c r="F131" s="19">
        <v>46551</v>
      </c>
      <c r="G131" s="10">
        <v>200</v>
      </c>
      <c r="H131" s="6">
        <f>SUMIF(Analysis_FEFO!$E$5:$E$174, A131, Analysis_FEFO!$G$5:$G$174)</f>
        <v>200</v>
      </c>
      <c r="I131" s="6">
        <f t="shared" si="12"/>
        <v>0</v>
      </c>
      <c r="J131" s="11">
        <v>97000</v>
      </c>
      <c r="K131" s="11">
        <f t="shared" si="8"/>
        <v>19400000</v>
      </c>
      <c r="L131" s="7">
        <f t="shared" si="13"/>
        <v>19400000</v>
      </c>
      <c r="M131" s="48">
        <f t="shared" ca="1" si="9"/>
        <v>229</v>
      </c>
      <c r="N131" s="6" t="str">
        <f t="shared" ca="1" si="14"/>
        <v>SAFE</v>
      </c>
      <c r="O131" s="29">
        <f t="shared" si="10"/>
        <v>0</v>
      </c>
      <c r="P131" s="38">
        <f t="shared" ca="1" si="15"/>
        <v>0</v>
      </c>
      <c r="Q131" s="8" t="str">
        <f t="shared" ca="1" si="11"/>
        <v>SAFE</v>
      </c>
      <c r="R131" s="30" t="str" cm="1">
        <f t="array" aca="1" ref="R131" ca="1">_xlfn.IFS(Q131="EXPIRED", "WRITE-OFF", Q131="WARNING", "FlASH SALE ", Q131="CRITICAL", "FEFO PRIORITY", Q131="SAFE", "REGULAR SALES")</f>
        <v>REGULAR SALES</v>
      </c>
    </row>
    <row r="132" spans="1:18" x14ac:dyDescent="0.25">
      <c r="A132" s="4" t="s">
        <v>155</v>
      </c>
      <c r="B132" s="4" t="s">
        <v>19</v>
      </c>
      <c r="C132" s="5" t="s">
        <v>20</v>
      </c>
      <c r="D132" s="23" t="s">
        <v>21</v>
      </c>
      <c r="E132" s="18">
        <v>45834</v>
      </c>
      <c r="F132" s="18">
        <v>46366</v>
      </c>
      <c r="G132" s="6">
        <v>500</v>
      </c>
      <c r="H132" s="6">
        <f>SUMIF(Analysis_FEFO!$E$5:$E$174, A132, Analysis_FEFO!$G$5:$G$174)</f>
        <v>0</v>
      </c>
      <c r="I132" s="6">
        <f t="shared" si="12"/>
        <v>500</v>
      </c>
      <c r="J132" s="7">
        <v>49000</v>
      </c>
      <c r="K132" s="7">
        <f t="shared" si="8"/>
        <v>24500000</v>
      </c>
      <c r="L132" s="7">
        <f t="shared" si="13"/>
        <v>0</v>
      </c>
      <c r="M132" s="48">
        <f t="shared" ca="1" si="9"/>
        <v>44</v>
      </c>
      <c r="N132" s="6" t="str">
        <f t="shared" ca="1" si="14"/>
        <v>SAFE</v>
      </c>
      <c r="O132" s="29">
        <f t="shared" si="10"/>
        <v>24500000</v>
      </c>
      <c r="P132" s="38">
        <f t="shared" ca="1" si="15"/>
        <v>24500000</v>
      </c>
      <c r="Q132" s="4" t="str">
        <f t="shared" ca="1" si="11"/>
        <v>CRITICAL</v>
      </c>
      <c r="R132" s="30" t="str" cm="1">
        <f t="array" aca="1" ref="R132" ca="1">_xlfn.IFS(Q132="EXPIRED", "WRITE-OFF", Q132="WARNING", "FlASH SALE ", Q132="CRITICAL", "FEFO PRIORITY", Q132="SAFE", "REGULAR SALES")</f>
        <v>FEFO PRIORITY</v>
      </c>
    </row>
    <row r="133" spans="1:18" x14ac:dyDescent="0.25">
      <c r="A133" s="8" t="s">
        <v>156</v>
      </c>
      <c r="B133" s="8" t="s">
        <v>53</v>
      </c>
      <c r="C133" s="9" t="s">
        <v>54</v>
      </c>
      <c r="D133" s="24" t="s">
        <v>35</v>
      </c>
      <c r="E133" s="19">
        <v>46015</v>
      </c>
      <c r="F133" s="19">
        <v>46383</v>
      </c>
      <c r="G133" s="10">
        <v>250</v>
      </c>
      <c r="H133" s="6">
        <f>SUMIF(Analysis_FEFO!$E$5:$E$174, A133, Analysis_FEFO!$G$5:$G$174)</f>
        <v>0</v>
      </c>
      <c r="I133" s="6">
        <f t="shared" si="12"/>
        <v>250</v>
      </c>
      <c r="J133" s="11">
        <v>57000</v>
      </c>
      <c r="K133" s="11">
        <f t="shared" si="8"/>
        <v>14250000</v>
      </c>
      <c r="L133" s="7">
        <f t="shared" si="13"/>
        <v>0</v>
      </c>
      <c r="M133" s="48">
        <f t="shared" ca="1" si="9"/>
        <v>61</v>
      </c>
      <c r="N133" s="6" t="str">
        <f t="shared" ca="1" si="14"/>
        <v>SAFE</v>
      </c>
      <c r="O133" s="29">
        <f t="shared" si="10"/>
        <v>14250000</v>
      </c>
      <c r="P133" s="38">
        <f t="shared" ca="1" si="15"/>
        <v>0</v>
      </c>
      <c r="Q133" s="8" t="str">
        <f t="shared" ca="1" si="11"/>
        <v>WARNING</v>
      </c>
      <c r="R133" s="30" t="str" cm="1">
        <f t="array" aca="1" ref="R133" ca="1">_xlfn.IFS(Q133="EXPIRED", "WRITE-OFF", Q133="WARNING", "FlASH SALE ", Q133="CRITICAL", "FEFO PRIORITY", Q133="SAFE", "REGULAR SALES")</f>
        <v xml:space="preserve">FlASH SALE </v>
      </c>
    </row>
    <row r="134" spans="1:18" x14ac:dyDescent="0.25">
      <c r="A134" s="4" t="s">
        <v>157</v>
      </c>
      <c r="B134" s="4" t="s">
        <v>4</v>
      </c>
      <c r="C134" s="5" t="s">
        <v>5</v>
      </c>
      <c r="D134" s="23" t="s">
        <v>6</v>
      </c>
      <c r="E134" s="18">
        <v>45886</v>
      </c>
      <c r="F134" s="18">
        <v>46518</v>
      </c>
      <c r="G134" s="6">
        <v>100</v>
      </c>
      <c r="H134" s="6">
        <f>SUMIF(Analysis_FEFO!$E$5:$E$174, A134, Analysis_FEFO!$G$5:$G$174)</f>
        <v>100</v>
      </c>
      <c r="I134" s="6">
        <f t="shared" si="12"/>
        <v>0</v>
      </c>
      <c r="J134" s="7">
        <v>85000</v>
      </c>
      <c r="K134" s="7">
        <f t="shared" ref="K134:K197" si="16">G134*J134</f>
        <v>8500000</v>
      </c>
      <c r="L134" s="7">
        <f t="shared" si="13"/>
        <v>8500000</v>
      </c>
      <c r="M134" s="48">
        <f t="shared" ref="M134:M197" ca="1" si="17">F134-TODAY()</f>
        <v>196</v>
      </c>
      <c r="N134" s="6" t="str">
        <f t="shared" ca="1" si="14"/>
        <v>SAFE</v>
      </c>
      <c r="O134" s="29">
        <f t="shared" ref="O134:O197" si="18">I134*J134</f>
        <v>0</v>
      </c>
      <c r="P134" s="38">
        <f t="shared" ca="1" si="15"/>
        <v>0</v>
      </c>
      <c r="Q134" s="4" t="str">
        <f t="shared" ref="Q134:Q197" ca="1" si="19">IF(M134&lt;0, "EXPIRED", IF(M134&lt;=60, "CRITICAL", IF(M134&lt;=180, "WARNING", "SAFE")))</f>
        <v>SAFE</v>
      </c>
      <c r="R134" s="30" t="str" cm="1">
        <f t="array" aca="1" ref="R134" ca="1">_xlfn.IFS(Q134="EXPIRED", "WRITE-OFF", Q134="WARNING", "FlASH SALE ", Q134="CRITICAL", "FEFO PRIORITY", Q134="SAFE", "REGULAR SALES")</f>
        <v>REGULAR SALES</v>
      </c>
    </row>
    <row r="135" spans="1:18" x14ac:dyDescent="0.25">
      <c r="A135" s="8" t="s">
        <v>158</v>
      </c>
      <c r="B135" s="8" t="s">
        <v>29</v>
      </c>
      <c r="C135" s="9" t="s">
        <v>30</v>
      </c>
      <c r="D135" s="24" t="s">
        <v>10</v>
      </c>
      <c r="E135" s="19">
        <v>45815</v>
      </c>
      <c r="F135" s="19">
        <v>46913</v>
      </c>
      <c r="G135" s="10">
        <v>300</v>
      </c>
      <c r="H135" s="6">
        <f>SUMIF(Analysis_FEFO!$E$5:$E$174, A135, Analysis_FEFO!$G$5:$G$174)</f>
        <v>0</v>
      </c>
      <c r="I135" s="6">
        <f t="shared" ref="I135:I198" si="20">G135-H135</f>
        <v>300</v>
      </c>
      <c r="J135" s="11">
        <v>28000</v>
      </c>
      <c r="K135" s="11">
        <f t="shared" si="16"/>
        <v>8400000</v>
      </c>
      <c r="L135" s="7">
        <f t="shared" ref="L135:L198" si="21">H135*J135</f>
        <v>0</v>
      </c>
      <c r="M135" s="48">
        <f t="shared" ca="1" si="17"/>
        <v>591</v>
      </c>
      <c r="N135" s="6" t="str">
        <f t="shared" ref="N135:N198" ca="1" si="22">IF(M135&lt;=0, "EXPIRED", IF(M135&lt;=30, "EXPIRING SOON (&lt;30 DAYS)", "SAFE"))</f>
        <v>SAFE</v>
      </c>
      <c r="O135" s="29">
        <f t="shared" si="18"/>
        <v>8400000</v>
      </c>
      <c r="P135" s="38">
        <f t="shared" ref="P135:P198" ca="1" si="23">IF(OR(Q135="CRITICAL", Q135="EXPIRED"), O135, 0)</f>
        <v>0</v>
      </c>
      <c r="Q135" s="8" t="str">
        <f t="shared" ca="1" si="19"/>
        <v>SAFE</v>
      </c>
      <c r="R135" s="30" t="str" cm="1">
        <f t="array" aca="1" ref="R135" ca="1">_xlfn.IFS(Q135="EXPIRED", "WRITE-OFF", Q135="WARNING", "FlASH SALE ", Q135="CRITICAL", "FEFO PRIORITY", Q135="SAFE", "REGULAR SALES")</f>
        <v>REGULAR SALES</v>
      </c>
    </row>
    <row r="136" spans="1:18" x14ac:dyDescent="0.25">
      <c r="A136" s="4" t="s">
        <v>159</v>
      </c>
      <c r="B136" s="4" t="s">
        <v>25</v>
      </c>
      <c r="C136" s="5" t="s">
        <v>26</v>
      </c>
      <c r="D136" s="23" t="s">
        <v>27</v>
      </c>
      <c r="E136" s="18">
        <v>46102</v>
      </c>
      <c r="F136" s="18">
        <v>46461</v>
      </c>
      <c r="G136" s="6">
        <v>200</v>
      </c>
      <c r="H136" s="6">
        <f>SUMIF(Analysis_FEFO!$E$5:$E$174, A136, Analysis_FEFO!$G$5:$G$174)</f>
        <v>0</v>
      </c>
      <c r="I136" s="6">
        <f t="shared" si="20"/>
        <v>200</v>
      </c>
      <c r="J136" s="7">
        <v>61000</v>
      </c>
      <c r="K136" s="7">
        <f t="shared" si="16"/>
        <v>12200000</v>
      </c>
      <c r="L136" s="7">
        <f t="shared" si="21"/>
        <v>0</v>
      </c>
      <c r="M136" s="48">
        <f t="shared" ca="1" si="17"/>
        <v>139</v>
      </c>
      <c r="N136" s="6" t="str">
        <f t="shared" ca="1" si="22"/>
        <v>SAFE</v>
      </c>
      <c r="O136" s="29">
        <f t="shared" si="18"/>
        <v>12200000</v>
      </c>
      <c r="P136" s="38">
        <f t="shared" ca="1" si="23"/>
        <v>0</v>
      </c>
      <c r="Q136" s="4" t="str">
        <f t="shared" ca="1" si="19"/>
        <v>WARNING</v>
      </c>
      <c r="R136" s="30" t="str" cm="1">
        <f t="array" aca="1" ref="R136" ca="1">_xlfn.IFS(Q136="EXPIRED", "WRITE-OFF", Q136="WARNING", "FlASH SALE ", Q136="CRITICAL", "FEFO PRIORITY", Q136="SAFE", "REGULAR SALES")</f>
        <v xml:space="preserve">FlASH SALE </v>
      </c>
    </row>
    <row r="137" spans="1:18" x14ac:dyDescent="0.25">
      <c r="A137" s="8" t="s">
        <v>160</v>
      </c>
      <c r="B137" s="8" t="s">
        <v>16</v>
      </c>
      <c r="C137" s="9" t="s">
        <v>17</v>
      </c>
      <c r="D137" s="24" t="s">
        <v>6</v>
      </c>
      <c r="E137" s="19">
        <v>45836</v>
      </c>
      <c r="F137" s="19">
        <v>46665</v>
      </c>
      <c r="G137" s="10">
        <v>500</v>
      </c>
      <c r="H137" s="6">
        <f>SUMIF(Analysis_FEFO!$E$5:$E$174, A137, Analysis_FEFO!$G$5:$G$174)</f>
        <v>500</v>
      </c>
      <c r="I137" s="6">
        <f t="shared" si="20"/>
        <v>0</v>
      </c>
      <c r="J137" s="11">
        <v>65000</v>
      </c>
      <c r="K137" s="11">
        <f t="shared" si="16"/>
        <v>32500000</v>
      </c>
      <c r="L137" s="7">
        <f t="shared" si="21"/>
        <v>32500000</v>
      </c>
      <c r="M137" s="48">
        <f t="shared" ca="1" si="17"/>
        <v>343</v>
      </c>
      <c r="N137" s="6" t="str">
        <f t="shared" ca="1" si="22"/>
        <v>SAFE</v>
      </c>
      <c r="O137" s="29">
        <f t="shared" si="18"/>
        <v>0</v>
      </c>
      <c r="P137" s="38">
        <f t="shared" ca="1" si="23"/>
        <v>0</v>
      </c>
      <c r="Q137" s="8" t="str">
        <f t="shared" ca="1" si="19"/>
        <v>SAFE</v>
      </c>
      <c r="R137" s="30" t="str" cm="1">
        <f t="array" aca="1" ref="R137" ca="1">_xlfn.IFS(Q137="EXPIRED", "WRITE-OFF", Q137="WARNING", "FlASH SALE ", Q137="CRITICAL", "FEFO PRIORITY", Q137="SAFE", "REGULAR SALES")</f>
        <v>REGULAR SALES</v>
      </c>
    </row>
    <row r="138" spans="1:18" x14ac:dyDescent="0.25">
      <c r="A138" s="4" t="s">
        <v>161</v>
      </c>
      <c r="B138" s="4" t="s">
        <v>33</v>
      </c>
      <c r="C138" s="5" t="s">
        <v>34</v>
      </c>
      <c r="D138" s="23" t="s">
        <v>35</v>
      </c>
      <c r="E138" s="18">
        <v>45934</v>
      </c>
      <c r="F138" s="18">
        <v>46450</v>
      </c>
      <c r="G138" s="6">
        <v>250</v>
      </c>
      <c r="H138" s="6">
        <f>SUMIF(Analysis_FEFO!$E$5:$E$174, A138, Analysis_FEFO!$G$5:$G$174)</f>
        <v>200</v>
      </c>
      <c r="I138" s="6">
        <f t="shared" si="20"/>
        <v>50</v>
      </c>
      <c r="J138" s="7">
        <v>60000</v>
      </c>
      <c r="K138" s="7">
        <f t="shared" si="16"/>
        <v>15000000</v>
      </c>
      <c r="L138" s="7">
        <f t="shared" si="21"/>
        <v>12000000</v>
      </c>
      <c r="M138" s="48">
        <f t="shared" ca="1" si="17"/>
        <v>128</v>
      </c>
      <c r="N138" s="6" t="str">
        <f t="shared" ca="1" si="22"/>
        <v>SAFE</v>
      </c>
      <c r="O138" s="29">
        <f t="shared" si="18"/>
        <v>3000000</v>
      </c>
      <c r="P138" s="38">
        <f t="shared" ca="1" si="23"/>
        <v>0</v>
      </c>
      <c r="Q138" s="4" t="str">
        <f t="shared" ca="1" si="19"/>
        <v>WARNING</v>
      </c>
      <c r="R138" s="30" t="str" cm="1">
        <f t="array" aca="1" ref="R138" ca="1">_xlfn.IFS(Q138="EXPIRED", "WRITE-OFF", Q138="WARNING", "FlASH SALE ", Q138="CRITICAL", "FEFO PRIORITY", Q138="SAFE", "REGULAR SALES")</f>
        <v xml:space="preserve">FlASH SALE </v>
      </c>
    </row>
    <row r="139" spans="1:18" x14ac:dyDescent="0.25">
      <c r="A139" s="8" t="s">
        <v>162</v>
      </c>
      <c r="B139" s="8" t="s">
        <v>53</v>
      </c>
      <c r="C139" s="9" t="s">
        <v>54</v>
      </c>
      <c r="D139" s="24" t="s">
        <v>35</v>
      </c>
      <c r="E139" s="19">
        <v>45875</v>
      </c>
      <c r="F139" s="19">
        <v>46602</v>
      </c>
      <c r="G139" s="10">
        <v>100</v>
      </c>
      <c r="H139" s="6">
        <f>SUMIF(Analysis_FEFO!$E$5:$E$174, A139, Analysis_FEFO!$G$5:$G$174)</f>
        <v>100</v>
      </c>
      <c r="I139" s="6">
        <f t="shared" si="20"/>
        <v>0</v>
      </c>
      <c r="J139" s="11">
        <v>53000</v>
      </c>
      <c r="K139" s="11">
        <f t="shared" si="16"/>
        <v>5300000</v>
      </c>
      <c r="L139" s="7">
        <f t="shared" si="21"/>
        <v>5300000</v>
      </c>
      <c r="M139" s="48">
        <f t="shared" ca="1" si="17"/>
        <v>280</v>
      </c>
      <c r="N139" s="6" t="str">
        <f t="shared" ca="1" si="22"/>
        <v>SAFE</v>
      </c>
      <c r="O139" s="29">
        <f t="shared" si="18"/>
        <v>0</v>
      </c>
      <c r="P139" s="38">
        <f t="shared" ca="1" si="23"/>
        <v>0</v>
      </c>
      <c r="Q139" s="8" t="str">
        <f t="shared" ca="1" si="19"/>
        <v>SAFE</v>
      </c>
      <c r="R139" s="30" t="str" cm="1">
        <f t="array" aca="1" ref="R139" ca="1">_xlfn.IFS(Q139="EXPIRED", "WRITE-OFF", Q139="WARNING", "FlASH SALE ", Q139="CRITICAL", "FEFO PRIORITY", Q139="SAFE", "REGULAR SALES")</f>
        <v>REGULAR SALES</v>
      </c>
    </row>
    <row r="140" spans="1:18" x14ac:dyDescent="0.25">
      <c r="A140" s="4" t="s">
        <v>163</v>
      </c>
      <c r="B140" s="4" t="s">
        <v>25</v>
      </c>
      <c r="C140" s="5" t="s">
        <v>26</v>
      </c>
      <c r="D140" s="23" t="s">
        <v>27</v>
      </c>
      <c r="E140" s="18">
        <v>45919</v>
      </c>
      <c r="F140" s="18">
        <v>46645</v>
      </c>
      <c r="G140" s="6">
        <v>300</v>
      </c>
      <c r="H140" s="6">
        <f>SUMIF(Analysis_FEFO!$E$5:$E$174, A140, Analysis_FEFO!$G$5:$G$174)</f>
        <v>0</v>
      </c>
      <c r="I140" s="6">
        <f t="shared" si="20"/>
        <v>300</v>
      </c>
      <c r="J140" s="7">
        <v>64000</v>
      </c>
      <c r="K140" s="7">
        <f t="shared" si="16"/>
        <v>19200000</v>
      </c>
      <c r="L140" s="7">
        <f t="shared" si="21"/>
        <v>0</v>
      </c>
      <c r="M140" s="48">
        <f t="shared" ca="1" si="17"/>
        <v>323</v>
      </c>
      <c r="N140" s="6" t="str">
        <f t="shared" ca="1" si="22"/>
        <v>SAFE</v>
      </c>
      <c r="O140" s="29">
        <f t="shared" si="18"/>
        <v>19200000</v>
      </c>
      <c r="P140" s="38">
        <f t="shared" ca="1" si="23"/>
        <v>0</v>
      </c>
      <c r="Q140" s="4" t="str">
        <f t="shared" ca="1" si="19"/>
        <v>SAFE</v>
      </c>
      <c r="R140" s="30" t="str" cm="1">
        <f t="array" aca="1" ref="R140" ca="1">_xlfn.IFS(Q140="EXPIRED", "WRITE-OFF", Q140="WARNING", "FlASH SALE ", Q140="CRITICAL", "FEFO PRIORITY", Q140="SAFE", "REGULAR SALES")</f>
        <v>REGULAR SALES</v>
      </c>
    </row>
    <row r="141" spans="1:18" x14ac:dyDescent="0.25">
      <c r="A141" s="8" t="s">
        <v>164</v>
      </c>
      <c r="B141" s="8" t="s">
        <v>45</v>
      </c>
      <c r="C141" s="9" t="s">
        <v>46</v>
      </c>
      <c r="D141" s="24" t="s">
        <v>14</v>
      </c>
      <c r="E141" s="19">
        <v>45909</v>
      </c>
      <c r="F141" s="19">
        <v>46554</v>
      </c>
      <c r="G141" s="10">
        <v>300</v>
      </c>
      <c r="H141" s="6">
        <f>SUMIF(Analysis_FEFO!$E$5:$E$174, A141, Analysis_FEFO!$G$5:$G$174)</f>
        <v>300</v>
      </c>
      <c r="I141" s="6">
        <f t="shared" si="20"/>
        <v>0</v>
      </c>
      <c r="J141" s="11">
        <v>95000</v>
      </c>
      <c r="K141" s="11">
        <f t="shared" si="16"/>
        <v>28500000</v>
      </c>
      <c r="L141" s="7">
        <f t="shared" si="21"/>
        <v>28500000</v>
      </c>
      <c r="M141" s="48">
        <f t="shared" ca="1" si="17"/>
        <v>232</v>
      </c>
      <c r="N141" s="6" t="str">
        <f t="shared" ca="1" si="22"/>
        <v>SAFE</v>
      </c>
      <c r="O141" s="29">
        <f t="shared" si="18"/>
        <v>0</v>
      </c>
      <c r="P141" s="38">
        <f t="shared" ca="1" si="23"/>
        <v>0</v>
      </c>
      <c r="Q141" s="8" t="str">
        <f t="shared" ca="1" si="19"/>
        <v>SAFE</v>
      </c>
      <c r="R141" s="30" t="str" cm="1">
        <f t="array" aca="1" ref="R141" ca="1">_xlfn.IFS(Q141="EXPIRED", "WRITE-OFF", Q141="WARNING", "FlASH SALE ", Q141="CRITICAL", "FEFO PRIORITY", Q141="SAFE", "REGULAR SALES")</f>
        <v>REGULAR SALES</v>
      </c>
    </row>
    <row r="142" spans="1:18" x14ac:dyDescent="0.25">
      <c r="A142" s="4" t="s">
        <v>165</v>
      </c>
      <c r="B142" s="4" t="s">
        <v>29</v>
      </c>
      <c r="C142" s="5" t="s">
        <v>30</v>
      </c>
      <c r="D142" s="23" t="s">
        <v>10</v>
      </c>
      <c r="E142" s="18">
        <v>46037</v>
      </c>
      <c r="F142" s="18">
        <v>46762</v>
      </c>
      <c r="G142" s="6">
        <v>200</v>
      </c>
      <c r="H142" s="6">
        <f>SUMIF(Analysis_FEFO!$E$5:$E$174, A142, Analysis_FEFO!$G$5:$G$174)</f>
        <v>0</v>
      </c>
      <c r="I142" s="6">
        <f t="shared" si="20"/>
        <v>200</v>
      </c>
      <c r="J142" s="7">
        <v>30000</v>
      </c>
      <c r="K142" s="7">
        <f t="shared" si="16"/>
        <v>6000000</v>
      </c>
      <c r="L142" s="7">
        <f t="shared" si="21"/>
        <v>0</v>
      </c>
      <c r="M142" s="48">
        <f t="shared" ca="1" si="17"/>
        <v>440</v>
      </c>
      <c r="N142" s="6" t="str">
        <f t="shared" ca="1" si="22"/>
        <v>SAFE</v>
      </c>
      <c r="O142" s="29">
        <f t="shared" si="18"/>
        <v>6000000</v>
      </c>
      <c r="P142" s="38">
        <f t="shared" ca="1" si="23"/>
        <v>0</v>
      </c>
      <c r="Q142" s="4" t="str">
        <f t="shared" ca="1" si="19"/>
        <v>SAFE</v>
      </c>
      <c r="R142" s="30" t="str" cm="1">
        <f t="array" aca="1" ref="R142" ca="1">_xlfn.IFS(Q142="EXPIRED", "WRITE-OFF", Q142="WARNING", "FlASH SALE ", Q142="CRITICAL", "FEFO PRIORITY", Q142="SAFE", "REGULAR SALES")</f>
        <v>REGULAR SALES</v>
      </c>
    </row>
    <row r="143" spans="1:18" x14ac:dyDescent="0.25">
      <c r="A143" s="8" t="s">
        <v>166</v>
      </c>
      <c r="B143" s="8" t="s">
        <v>12</v>
      </c>
      <c r="C143" s="9" t="s">
        <v>13</v>
      </c>
      <c r="D143" s="24" t="s">
        <v>14</v>
      </c>
      <c r="E143" s="19">
        <v>45920</v>
      </c>
      <c r="F143" s="19">
        <v>46460</v>
      </c>
      <c r="G143" s="10">
        <v>100</v>
      </c>
      <c r="H143" s="6">
        <f>SUMIF(Analysis_FEFO!$E$5:$E$174, A143, Analysis_FEFO!$G$5:$G$174)</f>
        <v>100</v>
      </c>
      <c r="I143" s="6">
        <f t="shared" si="20"/>
        <v>0</v>
      </c>
      <c r="J143" s="11">
        <v>33000</v>
      </c>
      <c r="K143" s="11">
        <f t="shared" si="16"/>
        <v>3300000</v>
      </c>
      <c r="L143" s="7">
        <f t="shared" si="21"/>
        <v>3300000</v>
      </c>
      <c r="M143" s="48">
        <f t="shared" ca="1" si="17"/>
        <v>138</v>
      </c>
      <c r="N143" s="6" t="str">
        <f t="shared" ca="1" si="22"/>
        <v>SAFE</v>
      </c>
      <c r="O143" s="29">
        <f t="shared" si="18"/>
        <v>0</v>
      </c>
      <c r="P143" s="38">
        <f t="shared" ca="1" si="23"/>
        <v>0</v>
      </c>
      <c r="Q143" s="8" t="str">
        <f t="shared" ca="1" si="19"/>
        <v>WARNING</v>
      </c>
      <c r="R143" s="30" t="str" cm="1">
        <f t="array" aca="1" ref="R143" ca="1">_xlfn.IFS(Q143="EXPIRED", "WRITE-OFF", Q143="WARNING", "FlASH SALE ", Q143="CRITICAL", "FEFO PRIORITY", Q143="SAFE", "REGULAR SALES")</f>
        <v xml:space="preserve">FlASH SALE </v>
      </c>
    </row>
    <row r="144" spans="1:18" x14ac:dyDescent="0.25">
      <c r="A144" s="4" t="s">
        <v>167</v>
      </c>
      <c r="B144" s="4" t="s">
        <v>29</v>
      </c>
      <c r="C144" s="5" t="s">
        <v>30</v>
      </c>
      <c r="D144" s="23" t="s">
        <v>10</v>
      </c>
      <c r="E144" s="18">
        <v>45945</v>
      </c>
      <c r="F144" s="18">
        <v>46463</v>
      </c>
      <c r="G144" s="6">
        <v>100</v>
      </c>
      <c r="H144" s="6">
        <f>SUMIF(Analysis_FEFO!$E$5:$E$174, A144, Analysis_FEFO!$G$5:$G$174)</f>
        <v>100</v>
      </c>
      <c r="I144" s="6">
        <f t="shared" si="20"/>
        <v>0</v>
      </c>
      <c r="J144" s="7">
        <v>29000</v>
      </c>
      <c r="K144" s="7">
        <f t="shared" si="16"/>
        <v>2900000</v>
      </c>
      <c r="L144" s="7">
        <f t="shared" si="21"/>
        <v>2900000</v>
      </c>
      <c r="M144" s="48">
        <f t="shared" ca="1" si="17"/>
        <v>141</v>
      </c>
      <c r="N144" s="6" t="str">
        <f t="shared" ca="1" si="22"/>
        <v>SAFE</v>
      </c>
      <c r="O144" s="29">
        <f t="shared" si="18"/>
        <v>0</v>
      </c>
      <c r="P144" s="38">
        <f t="shared" ca="1" si="23"/>
        <v>0</v>
      </c>
      <c r="Q144" s="4" t="str">
        <f t="shared" ca="1" si="19"/>
        <v>WARNING</v>
      </c>
      <c r="R144" s="30" t="str" cm="1">
        <f t="array" aca="1" ref="R144" ca="1">_xlfn.IFS(Q144="EXPIRED", "WRITE-OFF", Q144="WARNING", "FlASH SALE ", Q144="CRITICAL", "FEFO PRIORITY", Q144="SAFE", "REGULAR SALES")</f>
        <v xml:space="preserve">FlASH SALE </v>
      </c>
    </row>
    <row r="145" spans="1:18" x14ac:dyDescent="0.25">
      <c r="A145" s="8" t="s">
        <v>168</v>
      </c>
      <c r="B145" s="8" t="s">
        <v>53</v>
      </c>
      <c r="C145" s="9" t="s">
        <v>54</v>
      </c>
      <c r="D145" s="24" t="s">
        <v>35</v>
      </c>
      <c r="E145" s="19">
        <v>46031</v>
      </c>
      <c r="F145" s="19">
        <v>46575</v>
      </c>
      <c r="G145" s="10">
        <v>1000</v>
      </c>
      <c r="H145" s="6">
        <f>SUMIF(Analysis_FEFO!$E$5:$E$174, A145, Analysis_FEFO!$G$5:$G$174)</f>
        <v>0</v>
      </c>
      <c r="I145" s="6">
        <f t="shared" si="20"/>
        <v>1000</v>
      </c>
      <c r="J145" s="11">
        <v>51000</v>
      </c>
      <c r="K145" s="11">
        <f t="shared" si="16"/>
        <v>51000000</v>
      </c>
      <c r="L145" s="7">
        <f t="shared" si="21"/>
        <v>0</v>
      </c>
      <c r="M145" s="48">
        <f t="shared" ca="1" si="17"/>
        <v>253</v>
      </c>
      <c r="N145" s="6" t="str">
        <f t="shared" ca="1" si="22"/>
        <v>SAFE</v>
      </c>
      <c r="O145" s="29">
        <f t="shared" si="18"/>
        <v>51000000</v>
      </c>
      <c r="P145" s="38">
        <f t="shared" ca="1" si="23"/>
        <v>0</v>
      </c>
      <c r="Q145" s="8" t="str">
        <f t="shared" ca="1" si="19"/>
        <v>SAFE</v>
      </c>
      <c r="R145" s="30" t="str" cm="1">
        <f t="array" aca="1" ref="R145" ca="1">_xlfn.IFS(Q145="EXPIRED", "WRITE-OFF", Q145="WARNING", "FlASH SALE ", Q145="CRITICAL", "FEFO PRIORITY", Q145="SAFE", "REGULAR SALES")</f>
        <v>REGULAR SALES</v>
      </c>
    </row>
    <row r="146" spans="1:18" x14ac:dyDescent="0.25">
      <c r="A146" s="4" t="s">
        <v>169</v>
      </c>
      <c r="B146" s="4" t="s">
        <v>12</v>
      </c>
      <c r="C146" s="5" t="s">
        <v>13</v>
      </c>
      <c r="D146" s="23" t="s">
        <v>14</v>
      </c>
      <c r="E146" s="18">
        <v>45926</v>
      </c>
      <c r="F146" s="18">
        <v>46479</v>
      </c>
      <c r="G146" s="6">
        <v>500</v>
      </c>
      <c r="H146" s="6">
        <f>SUMIF(Analysis_FEFO!$E$5:$E$174, A146, Analysis_FEFO!$G$5:$G$174)</f>
        <v>500</v>
      </c>
      <c r="I146" s="6">
        <f t="shared" si="20"/>
        <v>0</v>
      </c>
      <c r="J146" s="7">
        <v>33000</v>
      </c>
      <c r="K146" s="7">
        <f t="shared" si="16"/>
        <v>16500000</v>
      </c>
      <c r="L146" s="7">
        <f t="shared" si="21"/>
        <v>16500000</v>
      </c>
      <c r="M146" s="48">
        <f t="shared" ca="1" si="17"/>
        <v>157</v>
      </c>
      <c r="N146" s="6" t="str">
        <f t="shared" ca="1" si="22"/>
        <v>SAFE</v>
      </c>
      <c r="O146" s="29">
        <f t="shared" si="18"/>
        <v>0</v>
      </c>
      <c r="P146" s="38">
        <f t="shared" ca="1" si="23"/>
        <v>0</v>
      </c>
      <c r="Q146" s="4" t="str">
        <f t="shared" ca="1" si="19"/>
        <v>WARNING</v>
      </c>
      <c r="R146" s="30" t="str" cm="1">
        <f t="array" aca="1" ref="R146" ca="1">_xlfn.IFS(Q146="EXPIRED", "WRITE-OFF", Q146="WARNING", "FlASH SALE ", Q146="CRITICAL", "FEFO PRIORITY", Q146="SAFE", "REGULAR SALES")</f>
        <v xml:space="preserve">FlASH SALE </v>
      </c>
    </row>
    <row r="147" spans="1:18" x14ac:dyDescent="0.25">
      <c r="A147" s="8" t="s">
        <v>170</v>
      </c>
      <c r="B147" s="8" t="s">
        <v>45</v>
      </c>
      <c r="C147" s="9" t="s">
        <v>46</v>
      </c>
      <c r="D147" s="24" t="s">
        <v>14</v>
      </c>
      <c r="E147" s="19">
        <v>46002</v>
      </c>
      <c r="F147" s="19">
        <v>46354</v>
      </c>
      <c r="G147" s="10">
        <v>250</v>
      </c>
      <c r="H147" s="6">
        <f>SUMIF(Analysis_FEFO!$E$5:$E$174, A147, Analysis_FEFO!$G$5:$G$174)</f>
        <v>0</v>
      </c>
      <c r="I147" s="6">
        <f t="shared" si="20"/>
        <v>250</v>
      </c>
      <c r="J147" s="11">
        <v>97000</v>
      </c>
      <c r="K147" s="11">
        <f t="shared" si="16"/>
        <v>24250000</v>
      </c>
      <c r="L147" s="7">
        <f t="shared" si="21"/>
        <v>0</v>
      </c>
      <c r="M147" s="48">
        <f t="shared" ca="1" si="17"/>
        <v>32</v>
      </c>
      <c r="N147" s="6" t="str">
        <f t="shared" ca="1" si="22"/>
        <v>SAFE</v>
      </c>
      <c r="O147" s="29">
        <f t="shared" si="18"/>
        <v>24250000</v>
      </c>
      <c r="P147" s="38">
        <f t="shared" ca="1" si="23"/>
        <v>24250000</v>
      </c>
      <c r="Q147" s="8" t="str">
        <f t="shared" ca="1" si="19"/>
        <v>CRITICAL</v>
      </c>
      <c r="R147" s="30" t="str" cm="1">
        <f t="array" aca="1" ref="R147" ca="1">_xlfn.IFS(Q147="EXPIRED", "WRITE-OFF", Q147="WARNING", "FlASH SALE ", Q147="CRITICAL", "FEFO PRIORITY", Q147="SAFE", "REGULAR SALES")</f>
        <v>FEFO PRIORITY</v>
      </c>
    </row>
    <row r="148" spans="1:18" x14ac:dyDescent="0.25">
      <c r="A148" s="4" t="s">
        <v>171</v>
      </c>
      <c r="B148" s="4" t="s">
        <v>16</v>
      </c>
      <c r="C148" s="5" t="s">
        <v>17</v>
      </c>
      <c r="D148" s="23" t="s">
        <v>6</v>
      </c>
      <c r="E148" s="18">
        <v>45926</v>
      </c>
      <c r="F148" s="18">
        <v>46655</v>
      </c>
      <c r="G148" s="6">
        <v>300</v>
      </c>
      <c r="H148" s="6">
        <f>SUMIF(Analysis_FEFO!$E$5:$E$174, A148, Analysis_FEFO!$G$5:$G$174)</f>
        <v>0</v>
      </c>
      <c r="I148" s="6">
        <f t="shared" si="20"/>
        <v>300</v>
      </c>
      <c r="J148" s="7">
        <v>60000</v>
      </c>
      <c r="K148" s="7">
        <f t="shared" si="16"/>
        <v>18000000</v>
      </c>
      <c r="L148" s="7">
        <f t="shared" si="21"/>
        <v>0</v>
      </c>
      <c r="M148" s="48">
        <f t="shared" ca="1" si="17"/>
        <v>333</v>
      </c>
      <c r="N148" s="6" t="str">
        <f t="shared" ca="1" si="22"/>
        <v>SAFE</v>
      </c>
      <c r="O148" s="29">
        <f t="shared" si="18"/>
        <v>18000000</v>
      </c>
      <c r="P148" s="38">
        <f t="shared" ca="1" si="23"/>
        <v>0</v>
      </c>
      <c r="Q148" s="4" t="str">
        <f t="shared" ca="1" si="19"/>
        <v>SAFE</v>
      </c>
      <c r="R148" s="30" t="str" cm="1">
        <f t="array" aca="1" ref="R148" ca="1">_xlfn.IFS(Q148="EXPIRED", "WRITE-OFF", Q148="WARNING", "FlASH SALE ", Q148="CRITICAL", "FEFO PRIORITY", Q148="SAFE", "REGULAR SALES")</f>
        <v>REGULAR SALES</v>
      </c>
    </row>
    <row r="149" spans="1:18" x14ac:dyDescent="0.25">
      <c r="A149" s="8" t="s">
        <v>172</v>
      </c>
      <c r="B149" s="8" t="s">
        <v>19</v>
      </c>
      <c r="C149" s="9" t="s">
        <v>20</v>
      </c>
      <c r="D149" s="24" t="s">
        <v>21</v>
      </c>
      <c r="E149" s="19">
        <v>45898</v>
      </c>
      <c r="F149" s="19">
        <v>46428</v>
      </c>
      <c r="G149" s="10">
        <v>300</v>
      </c>
      <c r="H149" s="6">
        <f>SUMIF(Analysis_FEFO!$E$5:$E$174, A149, Analysis_FEFO!$G$5:$G$174)</f>
        <v>0</v>
      </c>
      <c r="I149" s="6">
        <f t="shared" si="20"/>
        <v>300</v>
      </c>
      <c r="J149" s="11">
        <v>47000</v>
      </c>
      <c r="K149" s="11">
        <f t="shared" si="16"/>
        <v>14100000</v>
      </c>
      <c r="L149" s="7">
        <f t="shared" si="21"/>
        <v>0</v>
      </c>
      <c r="M149" s="48">
        <f t="shared" ca="1" si="17"/>
        <v>106</v>
      </c>
      <c r="N149" s="6" t="str">
        <f t="shared" ca="1" si="22"/>
        <v>SAFE</v>
      </c>
      <c r="O149" s="29">
        <f t="shared" si="18"/>
        <v>14100000</v>
      </c>
      <c r="P149" s="38">
        <f t="shared" ca="1" si="23"/>
        <v>0</v>
      </c>
      <c r="Q149" s="8" t="str">
        <f t="shared" ca="1" si="19"/>
        <v>WARNING</v>
      </c>
      <c r="R149" s="30" t="str" cm="1">
        <f t="array" aca="1" ref="R149" ca="1">_xlfn.IFS(Q149="EXPIRED", "WRITE-OFF", Q149="WARNING", "FlASH SALE ", Q149="CRITICAL", "FEFO PRIORITY", Q149="SAFE", "REGULAR SALES")</f>
        <v xml:space="preserve">FlASH SALE </v>
      </c>
    </row>
    <row r="150" spans="1:18" x14ac:dyDescent="0.25">
      <c r="A150" s="4" t="s">
        <v>173</v>
      </c>
      <c r="B150" s="4" t="s">
        <v>53</v>
      </c>
      <c r="C150" s="5" t="s">
        <v>54</v>
      </c>
      <c r="D150" s="23" t="s">
        <v>35</v>
      </c>
      <c r="E150" s="18">
        <v>46067</v>
      </c>
      <c r="F150" s="18">
        <v>46584</v>
      </c>
      <c r="G150" s="6">
        <v>250</v>
      </c>
      <c r="H150" s="6">
        <f>SUMIF(Analysis_FEFO!$E$5:$E$174, A150, Analysis_FEFO!$G$5:$G$174)</f>
        <v>250</v>
      </c>
      <c r="I150" s="6">
        <f t="shared" si="20"/>
        <v>0</v>
      </c>
      <c r="J150" s="7">
        <v>52000</v>
      </c>
      <c r="K150" s="7">
        <f t="shared" si="16"/>
        <v>13000000</v>
      </c>
      <c r="L150" s="7">
        <f t="shared" si="21"/>
        <v>13000000</v>
      </c>
      <c r="M150" s="48">
        <f t="shared" ca="1" si="17"/>
        <v>262</v>
      </c>
      <c r="N150" s="6" t="str">
        <f t="shared" ca="1" si="22"/>
        <v>SAFE</v>
      </c>
      <c r="O150" s="29">
        <f t="shared" si="18"/>
        <v>0</v>
      </c>
      <c r="P150" s="38">
        <f t="shared" ca="1" si="23"/>
        <v>0</v>
      </c>
      <c r="Q150" s="4" t="str">
        <f t="shared" ca="1" si="19"/>
        <v>SAFE</v>
      </c>
      <c r="R150" s="30" t="str" cm="1">
        <f t="array" aca="1" ref="R150" ca="1">_xlfn.IFS(Q150="EXPIRED", "WRITE-OFF", Q150="WARNING", "FlASH SALE ", Q150="CRITICAL", "FEFO PRIORITY", Q150="SAFE", "REGULAR SALES")</f>
        <v>REGULAR SALES</v>
      </c>
    </row>
    <row r="151" spans="1:18" x14ac:dyDescent="0.25">
      <c r="A151" s="8" t="s">
        <v>174</v>
      </c>
      <c r="B151" s="8" t="s">
        <v>4</v>
      </c>
      <c r="C151" s="9" t="s">
        <v>5</v>
      </c>
      <c r="D151" s="24" t="s">
        <v>6</v>
      </c>
      <c r="E151" s="19">
        <v>45946</v>
      </c>
      <c r="F151" s="19">
        <v>46663</v>
      </c>
      <c r="G151" s="10">
        <v>300</v>
      </c>
      <c r="H151" s="6">
        <f>SUMIF(Analysis_FEFO!$E$5:$E$174, A151, Analysis_FEFO!$G$5:$G$174)</f>
        <v>0</v>
      </c>
      <c r="I151" s="6">
        <f t="shared" si="20"/>
        <v>300</v>
      </c>
      <c r="J151" s="11">
        <v>78000</v>
      </c>
      <c r="K151" s="11">
        <f t="shared" si="16"/>
        <v>23400000</v>
      </c>
      <c r="L151" s="7">
        <f t="shared" si="21"/>
        <v>0</v>
      </c>
      <c r="M151" s="48">
        <f t="shared" ca="1" si="17"/>
        <v>341</v>
      </c>
      <c r="N151" s="6" t="str">
        <f t="shared" ca="1" si="22"/>
        <v>SAFE</v>
      </c>
      <c r="O151" s="29">
        <f t="shared" si="18"/>
        <v>23400000</v>
      </c>
      <c r="P151" s="38">
        <f t="shared" ca="1" si="23"/>
        <v>0</v>
      </c>
      <c r="Q151" s="8" t="str">
        <f t="shared" ca="1" si="19"/>
        <v>SAFE</v>
      </c>
      <c r="R151" s="30" t="str" cm="1">
        <f t="array" aca="1" ref="R151" ca="1">_xlfn.IFS(Q151="EXPIRED", "WRITE-OFF", Q151="WARNING", "FlASH SALE ", Q151="CRITICAL", "FEFO PRIORITY", Q151="SAFE", "REGULAR SALES")</f>
        <v>REGULAR SALES</v>
      </c>
    </row>
    <row r="152" spans="1:18" x14ac:dyDescent="0.25">
      <c r="A152" s="4" t="s">
        <v>175</v>
      </c>
      <c r="B152" s="4" t="s">
        <v>19</v>
      </c>
      <c r="C152" s="5" t="s">
        <v>20</v>
      </c>
      <c r="D152" s="23" t="s">
        <v>21</v>
      </c>
      <c r="E152" s="18">
        <v>45909</v>
      </c>
      <c r="F152" s="18">
        <v>46357</v>
      </c>
      <c r="G152" s="6">
        <v>300</v>
      </c>
      <c r="H152" s="6">
        <f>SUMIF(Analysis_FEFO!$E$5:$E$174, A152, Analysis_FEFO!$G$5:$G$174)</f>
        <v>300</v>
      </c>
      <c r="I152" s="6">
        <f t="shared" si="20"/>
        <v>0</v>
      </c>
      <c r="J152" s="7">
        <v>52000</v>
      </c>
      <c r="K152" s="7">
        <f t="shared" si="16"/>
        <v>15600000</v>
      </c>
      <c r="L152" s="7">
        <f t="shared" si="21"/>
        <v>15600000</v>
      </c>
      <c r="M152" s="48">
        <f t="shared" ca="1" si="17"/>
        <v>35</v>
      </c>
      <c r="N152" s="6" t="str">
        <f t="shared" ca="1" si="22"/>
        <v>SAFE</v>
      </c>
      <c r="O152" s="29">
        <f t="shared" si="18"/>
        <v>0</v>
      </c>
      <c r="P152" s="38">
        <f t="shared" ca="1" si="23"/>
        <v>0</v>
      </c>
      <c r="Q152" s="4" t="str">
        <f t="shared" ca="1" si="19"/>
        <v>CRITICAL</v>
      </c>
      <c r="R152" s="30" t="str" cm="1">
        <f t="array" aca="1" ref="R152" ca="1">_xlfn.IFS(Q152="EXPIRED", "WRITE-OFF", Q152="WARNING", "FlASH SALE ", Q152="CRITICAL", "FEFO PRIORITY", Q152="SAFE", "REGULAR SALES")</f>
        <v>FEFO PRIORITY</v>
      </c>
    </row>
    <row r="153" spans="1:18" x14ac:dyDescent="0.25">
      <c r="A153" s="8" t="s">
        <v>176</v>
      </c>
      <c r="B153" s="8" t="s">
        <v>12</v>
      </c>
      <c r="C153" s="9" t="s">
        <v>13</v>
      </c>
      <c r="D153" s="24" t="s">
        <v>14</v>
      </c>
      <c r="E153" s="19">
        <v>45902</v>
      </c>
      <c r="F153" s="19">
        <v>46406</v>
      </c>
      <c r="G153" s="10">
        <v>500</v>
      </c>
      <c r="H153" s="6">
        <f>SUMIF(Analysis_FEFO!$E$5:$E$174, A153, Analysis_FEFO!$G$5:$G$174)</f>
        <v>500</v>
      </c>
      <c r="I153" s="6">
        <f t="shared" si="20"/>
        <v>0</v>
      </c>
      <c r="J153" s="11">
        <v>31000</v>
      </c>
      <c r="K153" s="11">
        <f t="shared" si="16"/>
        <v>15500000</v>
      </c>
      <c r="L153" s="7">
        <f t="shared" si="21"/>
        <v>15500000</v>
      </c>
      <c r="M153" s="48">
        <f t="shared" ca="1" si="17"/>
        <v>84</v>
      </c>
      <c r="N153" s="6" t="str">
        <f t="shared" ca="1" si="22"/>
        <v>SAFE</v>
      </c>
      <c r="O153" s="29">
        <f t="shared" si="18"/>
        <v>0</v>
      </c>
      <c r="P153" s="38">
        <f t="shared" ca="1" si="23"/>
        <v>0</v>
      </c>
      <c r="Q153" s="8" t="str">
        <f t="shared" ca="1" si="19"/>
        <v>WARNING</v>
      </c>
      <c r="R153" s="30" t="str" cm="1">
        <f t="array" aca="1" ref="R153" ca="1">_xlfn.IFS(Q153="EXPIRED", "WRITE-OFF", Q153="WARNING", "FlASH SALE ", Q153="CRITICAL", "FEFO PRIORITY", Q153="SAFE", "REGULAR SALES")</f>
        <v xml:space="preserve">FlASH SALE </v>
      </c>
    </row>
    <row r="154" spans="1:18" x14ac:dyDescent="0.25">
      <c r="A154" s="4" t="s">
        <v>177</v>
      </c>
      <c r="B154" s="4" t="s">
        <v>25</v>
      </c>
      <c r="C154" s="5" t="s">
        <v>26</v>
      </c>
      <c r="D154" s="23" t="s">
        <v>27</v>
      </c>
      <c r="E154" s="18">
        <v>45945</v>
      </c>
      <c r="F154" s="18">
        <v>46477</v>
      </c>
      <c r="G154" s="6">
        <v>100</v>
      </c>
      <c r="H154" s="6">
        <f>SUMIF(Analysis_FEFO!$E$5:$E$174, A154, Analysis_FEFO!$G$5:$G$174)</f>
        <v>100</v>
      </c>
      <c r="I154" s="6">
        <f t="shared" si="20"/>
        <v>0</v>
      </c>
      <c r="J154" s="7">
        <v>62000</v>
      </c>
      <c r="K154" s="7">
        <f t="shared" si="16"/>
        <v>6200000</v>
      </c>
      <c r="L154" s="7">
        <f t="shared" si="21"/>
        <v>6200000</v>
      </c>
      <c r="M154" s="48">
        <f t="shared" ca="1" si="17"/>
        <v>155</v>
      </c>
      <c r="N154" s="6" t="str">
        <f t="shared" ca="1" si="22"/>
        <v>SAFE</v>
      </c>
      <c r="O154" s="29">
        <f t="shared" si="18"/>
        <v>0</v>
      </c>
      <c r="P154" s="38">
        <f t="shared" ca="1" si="23"/>
        <v>0</v>
      </c>
      <c r="Q154" s="4" t="str">
        <f t="shared" ca="1" si="19"/>
        <v>WARNING</v>
      </c>
      <c r="R154" s="30" t="str" cm="1">
        <f t="array" aca="1" ref="R154" ca="1">_xlfn.IFS(Q154="EXPIRED", "WRITE-OFF", Q154="WARNING", "FlASH SALE ", Q154="CRITICAL", "FEFO PRIORITY", Q154="SAFE", "REGULAR SALES")</f>
        <v xml:space="preserve">FlASH SALE </v>
      </c>
    </row>
    <row r="155" spans="1:18" x14ac:dyDescent="0.25">
      <c r="A155" s="8" t="s">
        <v>178</v>
      </c>
      <c r="B155" s="8" t="s">
        <v>12</v>
      </c>
      <c r="C155" s="9" t="s">
        <v>13</v>
      </c>
      <c r="D155" s="24" t="s">
        <v>14</v>
      </c>
      <c r="E155" s="19">
        <v>45868</v>
      </c>
      <c r="F155" s="19">
        <v>46400</v>
      </c>
      <c r="G155" s="10">
        <v>500</v>
      </c>
      <c r="H155" s="6">
        <f>SUMIF(Analysis_FEFO!$E$5:$E$174, A155, Analysis_FEFO!$G$5:$G$174)</f>
        <v>0</v>
      </c>
      <c r="I155" s="6">
        <f t="shared" si="20"/>
        <v>500</v>
      </c>
      <c r="J155" s="11">
        <v>32000</v>
      </c>
      <c r="K155" s="11">
        <f t="shared" si="16"/>
        <v>16000000</v>
      </c>
      <c r="L155" s="7">
        <f t="shared" si="21"/>
        <v>0</v>
      </c>
      <c r="M155" s="48">
        <f t="shared" ca="1" si="17"/>
        <v>78</v>
      </c>
      <c r="N155" s="6" t="str">
        <f t="shared" ca="1" si="22"/>
        <v>SAFE</v>
      </c>
      <c r="O155" s="29">
        <f t="shared" si="18"/>
        <v>16000000</v>
      </c>
      <c r="P155" s="38">
        <f t="shared" ca="1" si="23"/>
        <v>0</v>
      </c>
      <c r="Q155" s="8" t="str">
        <f t="shared" ca="1" si="19"/>
        <v>WARNING</v>
      </c>
      <c r="R155" s="30" t="str" cm="1">
        <f t="array" aca="1" ref="R155" ca="1">_xlfn.IFS(Q155="EXPIRED", "WRITE-OFF", Q155="WARNING", "FlASH SALE ", Q155="CRITICAL", "FEFO PRIORITY", Q155="SAFE", "REGULAR SALES")</f>
        <v xml:space="preserve">FlASH SALE </v>
      </c>
    </row>
    <row r="156" spans="1:18" x14ac:dyDescent="0.25">
      <c r="A156" s="4" t="s">
        <v>179</v>
      </c>
      <c r="B156" s="4" t="s">
        <v>8</v>
      </c>
      <c r="C156" s="5" t="s">
        <v>9</v>
      </c>
      <c r="D156" s="23" t="s">
        <v>10</v>
      </c>
      <c r="E156" s="18">
        <v>46021</v>
      </c>
      <c r="F156" s="18">
        <v>46569</v>
      </c>
      <c r="G156" s="6">
        <v>300</v>
      </c>
      <c r="H156" s="6">
        <f>SUMIF(Analysis_FEFO!$E$5:$E$174, A156, Analysis_FEFO!$G$5:$G$174)</f>
        <v>0</v>
      </c>
      <c r="I156" s="6">
        <f t="shared" si="20"/>
        <v>300</v>
      </c>
      <c r="J156" s="7">
        <v>33000</v>
      </c>
      <c r="K156" s="7">
        <f t="shared" si="16"/>
        <v>9900000</v>
      </c>
      <c r="L156" s="7">
        <f t="shared" si="21"/>
        <v>0</v>
      </c>
      <c r="M156" s="48">
        <f t="shared" ca="1" si="17"/>
        <v>247</v>
      </c>
      <c r="N156" s="6" t="str">
        <f t="shared" ca="1" si="22"/>
        <v>SAFE</v>
      </c>
      <c r="O156" s="29">
        <f t="shared" si="18"/>
        <v>9900000</v>
      </c>
      <c r="P156" s="38">
        <f t="shared" ca="1" si="23"/>
        <v>0</v>
      </c>
      <c r="Q156" s="4" t="str">
        <f t="shared" ca="1" si="19"/>
        <v>SAFE</v>
      </c>
      <c r="R156" s="30" t="str" cm="1">
        <f t="array" aca="1" ref="R156" ca="1">_xlfn.IFS(Q156="EXPIRED", "WRITE-OFF", Q156="WARNING", "FlASH SALE ", Q156="CRITICAL", "FEFO PRIORITY", Q156="SAFE", "REGULAR SALES")</f>
        <v>REGULAR SALES</v>
      </c>
    </row>
    <row r="157" spans="1:18" x14ac:dyDescent="0.25">
      <c r="A157" s="8" t="s">
        <v>180</v>
      </c>
      <c r="B157" s="8" t="s">
        <v>53</v>
      </c>
      <c r="C157" s="9" t="s">
        <v>54</v>
      </c>
      <c r="D157" s="24" t="s">
        <v>35</v>
      </c>
      <c r="E157" s="19">
        <v>45897</v>
      </c>
      <c r="F157" s="19">
        <v>46446</v>
      </c>
      <c r="G157" s="10">
        <v>300</v>
      </c>
      <c r="H157" s="6">
        <f>SUMIF(Analysis_FEFO!$E$5:$E$174, A157, Analysis_FEFO!$G$5:$G$174)</f>
        <v>0</v>
      </c>
      <c r="I157" s="6">
        <f t="shared" si="20"/>
        <v>300</v>
      </c>
      <c r="J157" s="11">
        <v>55000</v>
      </c>
      <c r="K157" s="11">
        <f t="shared" si="16"/>
        <v>16500000</v>
      </c>
      <c r="L157" s="7">
        <f t="shared" si="21"/>
        <v>0</v>
      </c>
      <c r="M157" s="48">
        <f t="shared" ca="1" si="17"/>
        <v>124</v>
      </c>
      <c r="N157" s="6" t="str">
        <f t="shared" ca="1" si="22"/>
        <v>SAFE</v>
      </c>
      <c r="O157" s="29">
        <f t="shared" si="18"/>
        <v>16500000</v>
      </c>
      <c r="P157" s="38">
        <f t="shared" ca="1" si="23"/>
        <v>0</v>
      </c>
      <c r="Q157" s="8" t="str">
        <f t="shared" ca="1" si="19"/>
        <v>WARNING</v>
      </c>
      <c r="R157" s="30" t="str" cm="1">
        <f t="array" aca="1" ref="R157" ca="1">_xlfn.IFS(Q157="EXPIRED", "WRITE-OFF", Q157="WARNING", "FlASH SALE ", Q157="CRITICAL", "FEFO PRIORITY", Q157="SAFE", "REGULAR SALES")</f>
        <v xml:space="preserve">FlASH SALE </v>
      </c>
    </row>
    <row r="158" spans="1:18" x14ac:dyDescent="0.25">
      <c r="A158" s="4" t="s">
        <v>181</v>
      </c>
      <c r="B158" s="4" t="s">
        <v>4</v>
      </c>
      <c r="C158" s="5" t="s">
        <v>5</v>
      </c>
      <c r="D158" s="23" t="s">
        <v>6</v>
      </c>
      <c r="E158" s="18">
        <v>45912</v>
      </c>
      <c r="F158" s="18">
        <v>46550</v>
      </c>
      <c r="G158" s="6">
        <v>300</v>
      </c>
      <c r="H158" s="6">
        <f>SUMIF(Analysis_FEFO!$E$5:$E$174, A158, Analysis_FEFO!$G$5:$G$174)</f>
        <v>300</v>
      </c>
      <c r="I158" s="6">
        <f t="shared" si="20"/>
        <v>0</v>
      </c>
      <c r="J158" s="7">
        <v>75000</v>
      </c>
      <c r="K158" s="7">
        <f t="shared" si="16"/>
        <v>22500000</v>
      </c>
      <c r="L158" s="7">
        <f t="shared" si="21"/>
        <v>22500000</v>
      </c>
      <c r="M158" s="48">
        <f t="shared" ca="1" si="17"/>
        <v>228</v>
      </c>
      <c r="N158" s="6" t="str">
        <f t="shared" ca="1" si="22"/>
        <v>SAFE</v>
      </c>
      <c r="O158" s="29">
        <f t="shared" si="18"/>
        <v>0</v>
      </c>
      <c r="P158" s="38">
        <f t="shared" ca="1" si="23"/>
        <v>0</v>
      </c>
      <c r="Q158" s="4" t="str">
        <f t="shared" ca="1" si="19"/>
        <v>SAFE</v>
      </c>
      <c r="R158" s="30" t="str" cm="1">
        <f t="array" aca="1" ref="R158" ca="1">_xlfn.IFS(Q158="EXPIRED", "WRITE-OFF", Q158="WARNING", "FlASH SALE ", Q158="CRITICAL", "FEFO PRIORITY", Q158="SAFE", "REGULAR SALES")</f>
        <v>REGULAR SALES</v>
      </c>
    </row>
    <row r="159" spans="1:18" x14ac:dyDescent="0.25">
      <c r="A159" s="8" t="s">
        <v>182</v>
      </c>
      <c r="B159" s="8" t="s">
        <v>4</v>
      </c>
      <c r="C159" s="9" t="s">
        <v>5</v>
      </c>
      <c r="D159" s="24" t="s">
        <v>6</v>
      </c>
      <c r="E159" s="19">
        <v>45871</v>
      </c>
      <c r="F159" s="19">
        <v>46971</v>
      </c>
      <c r="G159" s="10">
        <v>250</v>
      </c>
      <c r="H159" s="6">
        <f>SUMIF(Analysis_FEFO!$E$5:$E$174, A159, Analysis_FEFO!$G$5:$G$174)</f>
        <v>0</v>
      </c>
      <c r="I159" s="6">
        <f t="shared" si="20"/>
        <v>250</v>
      </c>
      <c r="J159" s="11">
        <v>81000</v>
      </c>
      <c r="K159" s="11">
        <f t="shared" si="16"/>
        <v>20250000</v>
      </c>
      <c r="L159" s="7">
        <f t="shared" si="21"/>
        <v>0</v>
      </c>
      <c r="M159" s="48">
        <f t="shared" ca="1" si="17"/>
        <v>649</v>
      </c>
      <c r="N159" s="6" t="str">
        <f t="shared" ca="1" si="22"/>
        <v>SAFE</v>
      </c>
      <c r="O159" s="29">
        <f t="shared" si="18"/>
        <v>20250000</v>
      </c>
      <c r="P159" s="38">
        <f t="shared" ca="1" si="23"/>
        <v>0</v>
      </c>
      <c r="Q159" s="8" t="str">
        <f t="shared" ca="1" si="19"/>
        <v>SAFE</v>
      </c>
      <c r="R159" s="30" t="str" cm="1">
        <f t="array" aca="1" ref="R159" ca="1">_xlfn.IFS(Q159="EXPIRED", "WRITE-OFF", Q159="WARNING", "FlASH SALE ", Q159="CRITICAL", "FEFO PRIORITY", Q159="SAFE", "REGULAR SALES")</f>
        <v>REGULAR SALES</v>
      </c>
    </row>
    <row r="160" spans="1:18" x14ac:dyDescent="0.25">
      <c r="A160" s="4" t="s">
        <v>183</v>
      </c>
      <c r="B160" s="4" t="s">
        <v>25</v>
      </c>
      <c r="C160" s="5" t="s">
        <v>26</v>
      </c>
      <c r="D160" s="23" t="s">
        <v>27</v>
      </c>
      <c r="E160" s="18">
        <v>45912</v>
      </c>
      <c r="F160" s="18">
        <v>46814</v>
      </c>
      <c r="G160" s="6">
        <v>200</v>
      </c>
      <c r="H160" s="6">
        <f>SUMIF(Analysis_FEFO!$E$5:$E$174, A160, Analysis_FEFO!$G$5:$G$174)</f>
        <v>200</v>
      </c>
      <c r="I160" s="6">
        <f t="shared" si="20"/>
        <v>0</v>
      </c>
      <c r="J160" s="7">
        <v>60000</v>
      </c>
      <c r="K160" s="7">
        <f t="shared" si="16"/>
        <v>12000000</v>
      </c>
      <c r="L160" s="7">
        <f t="shared" si="21"/>
        <v>12000000</v>
      </c>
      <c r="M160" s="48">
        <f t="shared" ca="1" si="17"/>
        <v>492</v>
      </c>
      <c r="N160" s="6" t="str">
        <f t="shared" ca="1" si="22"/>
        <v>SAFE</v>
      </c>
      <c r="O160" s="29">
        <f t="shared" si="18"/>
        <v>0</v>
      </c>
      <c r="P160" s="38">
        <f t="shared" ca="1" si="23"/>
        <v>0</v>
      </c>
      <c r="Q160" s="4" t="str">
        <f t="shared" ca="1" si="19"/>
        <v>SAFE</v>
      </c>
      <c r="R160" s="30" t="str" cm="1">
        <f t="array" aca="1" ref="R160" ca="1">_xlfn.IFS(Q160="EXPIRED", "WRITE-OFF", Q160="WARNING", "FlASH SALE ", Q160="CRITICAL", "FEFO PRIORITY", Q160="SAFE", "REGULAR SALES")</f>
        <v>REGULAR SALES</v>
      </c>
    </row>
    <row r="161" spans="1:18" x14ac:dyDescent="0.25">
      <c r="A161" s="8" t="s">
        <v>184</v>
      </c>
      <c r="B161" s="8" t="s">
        <v>8</v>
      </c>
      <c r="C161" s="9" t="s">
        <v>9</v>
      </c>
      <c r="D161" s="24" t="s">
        <v>10</v>
      </c>
      <c r="E161" s="19">
        <v>45987</v>
      </c>
      <c r="F161" s="19">
        <v>46992</v>
      </c>
      <c r="G161" s="10">
        <v>500</v>
      </c>
      <c r="H161" s="6">
        <f>SUMIF(Analysis_FEFO!$E$5:$E$174, A161, Analysis_FEFO!$G$5:$G$174)</f>
        <v>0</v>
      </c>
      <c r="I161" s="6">
        <f t="shared" si="20"/>
        <v>500</v>
      </c>
      <c r="J161" s="11">
        <v>36000</v>
      </c>
      <c r="K161" s="11">
        <f t="shared" si="16"/>
        <v>18000000</v>
      </c>
      <c r="L161" s="7">
        <f t="shared" si="21"/>
        <v>0</v>
      </c>
      <c r="M161" s="48">
        <f t="shared" ca="1" si="17"/>
        <v>670</v>
      </c>
      <c r="N161" s="6" t="str">
        <f t="shared" ca="1" si="22"/>
        <v>SAFE</v>
      </c>
      <c r="O161" s="29">
        <f t="shared" si="18"/>
        <v>18000000</v>
      </c>
      <c r="P161" s="38">
        <f t="shared" ca="1" si="23"/>
        <v>0</v>
      </c>
      <c r="Q161" s="8" t="str">
        <f t="shared" ca="1" si="19"/>
        <v>SAFE</v>
      </c>
      <c r="R161" s="30" t="str" cm="1">
        <f t="array" aca="1" ref="R161" ca="1">_xlfn.IFS(Q161="EXPIRED", "WRITE-OFF", Q161="WARNING", "FlASH SALE ", Q161="CRITICAL", "FEFO PRIORITY", Q161="SAFE", "REGULAR SALES")</f>
        <v>REGULAR SALES</v>
      </c>
    </row>
    <row r="162" spans="1:18" x14ac:dyDescent="0.25">
      <c r="A162" s="4" t="s">
        <v>185</v>
      </c>
      <c r="B162" s="4" t="s">
        <v>19</v>
      </c>
      <c r="C162" s="5" t="s">
        <v>20</v>
      </c>
      <c r="D162" s="23" t="s">
        <v>21</v>
      </c>
      <c r="E162" s="18">
        <v>46039</v>
      </c>
      <c r="F162" s="18">
        <v>46412</v>
      </c>
      <c r="G162" s="6">
        <v>200</v>
      </c>
      <c r="H162" s="6">
        <f>SUMIF(Analysis_FEFO!$E$5:$E$174, A162, Analysis_FEFO!$G$5:$G$174)</f>
        <v>0</v>
      </c>
      <c r="I162" s="6">
        <f t="shared" si="20"/>
        <v>200</v>
      </c>
      <c r="J162" s="7">
        <v>45000</v>
      </c>
      <c r="K162" s="7">
        <f t="shared" si="16"/>
        <v>9000000</v>
      </c>
      <c r="L162" s="7">
        <f t="shared" si="21"/>
        <v>0</v>
      </c>
      <c r="M162" s="48">
        <f t="shared" ca="1" si="17"/>
        <v>90</v>
      </c>
      <c r="N162" s="6" t="str">
        <f t="shared" ca="1" si="22"/>
        <v>SAFE</v>
      </c>
      <c r="O162" s="29">
        <f t="shared" si="18"/>
        <v>9000000</v>
      </c>
      <c r="P162" s="38">
        <f t="shared" ca="1" si="23"/>
        <v>0</v>
      </c>
      <c r="Q162" s="4" t="str">
        <f t="shared" ca="1" si="19"/>
        <v>WARNING</v>
      </c>
      <c r="R162" s="30" t="str" cm="1">
        <f t="array" aca="1" ref="R162" ca="1">_xlfn.IFS(Q162="EXPIRED", "WRITE-OFF", Q162="WARNING", "FlASH SALE ", Q162="CRITICAL", "FEFO PRIORITY", Q162="SAFE", "REGULAR SALES")</f>
        <v xml:space="preserve">FlASH SALE </v>
      </c>
    </row>
    <row r="163" spans="1:18" x14ac:dyDescent="0.25">
      <c r="A163" s="8" t="s">
        <v>186</v>
      </c>
      <c r="B163" s="8" t="s">
        <v>16</v>
      </c>
      <c r="C163" s="9" t="s">
        <v>17</v>
      </c>
      <c r="D163" s="24" t="s">
        <v>6</v>
      </c>
      <c r="E163" s="19">
        <v>46097</v>
      </c>
      <c r="F163" s="19">
        <v>46558</v>
      </c>
      <c r="G163" s="10">
        <v>500</v>
      </c>
      <c r="H163" s="6">
        <f>SUMIF(Analysis_FEFO!$E$5:$E$174, A163, Analysis_FEFO!$G$5:$G$174)</f>
        <v>0</v>
      </c>
      <c r="I163" s="6">
        <f t="shared" si="20"/>
        <v>500</v>
      </c>
      <c r="J163" s="11">
        <v>64000</v>
      </c>
      <c r="K163" s="11">
        <f t="shared" si="16"/>
        <v>32000000</v>
      </c>
      <c r="L163" s="7">
        <f t="shared" si="21"/>
        <v>0</v>
      </c>
      <c r="M163" s="48">
        <f t="shared" ca="1" si="17"/>
        <v>236</v>
      </c>
      <c r="N163" s="6" t="str">
        <f t="shared" ca="1" si="22"/>
        <v>SAFE</v>
      </c>
      <c r="O163" s="29">
        <f t="shared" si="18"/>
        <v>32000000</v>
      </c>
      <c r="P163" s="38">
        <f t="shared" ca="1" si="23"/>
        <v>0</v>
      </c>
      <c r="Q163" s="8" t="str">
        <f t="shared" ca="1" si="19"/>
        <v>SAFE</v>
      </c>
      <c r="R163" s="30" t="str" cm="1">
        <f t="array" aca="1" ref="R163" ca="1">_xlfn.IFS(Q163="EXPIRED", "WRITE-OFF", Q163="WARNING", "FlASH SALE ", Q163="CRITICAL", "FEFO PRIORITY", Q163="SAFE", "REGULAR SALES")</f>
        <v>REGULAR SALES</v>
      </c>
    </row>
    <row r="164" spans="1:18" x14ac:dyDescent="0.25">
      <c r="A164" s="4" t="s">
        <v>187</v>
      </c>
      <c r="B164" s="4" t="s">
        <v>33</v>
      </c>
      <c r="C164" s="5" t="s">
        <v>34</v>
      </c>
      <c r="D164" s="23" t="s">
        <v>35</v>
      </c>
      <c r="E164" s="18">
        <v>45926</v>
      </c>
      <c r="F164" s="18">
        <v>46465</v>
      </c>
      <c r="G164" s="6">
        <v>500</v>
      </c>
      <c r="H164" s="6">
        <f>SUMIF(Analysis_FEFO!$E$5:$E$174, A164, Analysis_FEFO!$G$5:$G$174)</f>
        <v>0</v>
      </c>
      <c r="I164" s="6">
        <f t="shared" si="20"/>
        <v>500</v>
      </c>
      <c r="J164" s="7">
        <v>59000</v>
      </c>
      <c r="K164" s="7">
        <f t="shared" si="16"/>
        <v>29500000</v>
      </c>
      <c r="L164" s="7">
        <f t="shared" si="21"/>
        <v>0</v>
      </c>
      <c r="M164" s="48">
        <f t="shared" ca="1" si="17"/>
        <v>143</v>
      </c>
      <c r="N164" s="6" t="str">
        <f t="shared" ca="1" si="22"/>
        <v>SAFE</v>
      </c>
      <c r="O164" s="29">
        <f t="shared" si="18"/>
        <v>29500000</v>
      </c>
      <c r="P164" s="38">
        <f t="shared" ca="1" si="23"/>
        <v>0</v>
      </c>
      <c r="Q164" s="4" t="str">
        <f t="shared" ca="1" si="19"/>
        <v>WARNING</v>
      </c>
      <c r="R164" s="30" t="str" cm="1">
        <f t="array" aca="1" ref="R164" ca="1">_xlfn.IFS(Q164="EXPIRED", "WRITE-OFF", Q164="WARNING", "FlASH SALE ", Q164="CRITICAL", "FEFO PRIORITY", Q164="SAFE", "REGULAR SALES")</f>
        <v xml:space="preserve">FlASH SALE </v>
      </c>
    </row>
    <row r="165" spans="1:18" x14ac:dyDescent="0.25">
      <c r="A165" s="8" t="s">
        <v>188</v>
      </c>
      <c r="B165" s="8" t="s">
        <v>53</v>
      </c>
      <c r="C165" s="9" t="s">
        <v>54</v>
      </c>
      <c r="D165" s="24" t="s">
        <v>35</v>
      </c>
      <c r="E165" s="19">
        <v>45992</v>
      </c>
      <c r="F165" s="19">
        <v>46344</v>
      </c>
      <c r="G165" s="10">
        <v>200</v>
      </c>
      <c r="H165" s="6">
        <f>SUMIF(Analysis_FEFO!$E$5:$E$174, A165, Analysis_FEFO!$G$5:$G$174)</f>
        <v>0</v>
      </c>
      <c r="I165" s="6">
        <f t="shared" si="20"/>
        <v>200</v>
      </c>
      <c r="J165" s="11">
        <v>51000</v>
      </c>
      <c r="K165" s="11">
        <f t="shared" si="16"/>
        <v>10200000</v>
      </c>
      <c r="L165" s="7">
        <f t="shared" si="21"/>
        <v>0</v>
      </c>
      <c r="M165" s="48">
        <f t="shared" ca="1" si="17"/>
        <v>22</v>
      </c>
      <c r="N165" s="6" t="str">
        <f t="shared" ca="1" si="22"/>
        <v>EXPIRING SOON (&lt;30 DAYS)</v>
      </c>
      <c r="O165" s="29">
        <f t="shared" si="18"/>
        <v>10200000</v>
      </c>
      <c r="P165" s="38">
        <f t="shared" ca="1" si="23"/>
        <v>10200000</v>
      </c>
      <c r="Q165" s="8" t="str">
        <f t="shared" ca="1" si="19"/>
        <v>CRITICAL</v>
      </c>
      <c r="R165" s="30" t="str" cm="1">
        <f t="array" aca="1" ref="R165" ca="1">_xlfn.IFS(Q165="EXPIRED", "WRITE-OFF", Q165="WARNING", "FlASH SALE ", Q165="CRITICAL", "FEFO PRIORITY", Q165="SAFE", "REGULAR SALES")</f>
        <v>FEFO PRIORITY</v>
      </c>
    </row>
    <row r="166" spans="1:18" x14ac:dyDescent="0.25">
      <c r="A166" s="4" t="s">
        <v>189</v>
      </c>
      <c r="B166" s="4" t="s">
        <v>25</v>
      </c>
      <c r="C166" s="5" t="s">
        <v>26</v>
      </c>
      <c r="D166" s="23" t="s">
        <v>27</v>
      </c>
      <c r="E166" s="18">
        <v>45903</v>
      </c>
      <c r="F166" s="18">
        <v>46982</v>
      </c>
      <c r="G166" s="6">
        <v>300</v>
      </c>
      <c r="H166" s="6">
        <f>SUMIF(Analysis_FEFO!$E$5:$E$174, A166, Analysis_FEFO!$G$5:$G$174)</f>
        <v>0</v>
      </c>
      <c r="I166" s="6">
        <f t="shared" si="20"/>
        <v>300</v>
      </c>
      <c r="J166" s="7">
        <v>65000</v>
      </c>
      <c r="K166" s="7">
        <f t="shared" si="16"/>
        <v>19500000</v>
      </c>
      <c r="L166" s="7">
        <f t="shared" si="21"/>
        <v>0</v>
      </c>
      <c r="M166" s="48">
        <f t="shared" ca="1" si="17"/>
        <v>660</v>
      </c>
      <c r="N166" s="6" t="str">
        <f t="shared" ca="1" si="22"/>
        <v>SAFE</v>
      </c>
      <c r="O166" s="29">
        <f t="shared" si="18"/>
        <v>19500000</v>
      </c>
      <c r="P166" s="38">
        <f t="shared" ca="1" si="23"/>
        <v>0</v>
      </c>
      <c r="Q166" s="4" t="str">
        <f t="shared" ca="1" si="19"/>
        <v>SAFE</v>
      </c>
      <c r="R166" s="30" t="str" cm="1">
        <f t="array" aca="1" ref="R166" ca="1">_xlfn.IFS(Q166="EXPIRED", "WRITE-OFF", Q166="WARNING", "FlASH SALE ", Q166="CRITICAL", "FEFO PRIORITY", Q166="SAFE", "REGULAR SALES")</f>
        <v>REGULAR SALES</v>
      </c>
    </row>
    <row r="167" spans="1:18" x14ac:dyDescent="0.25">
      <c r="A167" s="8" t="s">
        <v>190</v>
      </c>
      <c r="B167" s="8" t="s">
        <v>16</v>
      </c>
      <c r="C167" s="9" t="s">
        <v>17</v>
      </c>
      <c r="D167" s="24" t="s">
        <v>6</v>
      </c>
      <c r="E167" s="19">
        <v>45956</v>
      </c>
      <c r="F167" s="19">
        <v>46495</v>
      </c>
      <c r="G167" s="10">
        <v>250</v>
      </c>
      <c r="H167" s="6">
        <f>SUMIF(Analysis_FEFO!$E$5:$E$174, A167, Analysis_FEFO!$G$5:$G$174)</f>
        <v>150</v>
      </c>
      <c r="I167" s="6">
        <f t="shared" si="20"/>
        <v>100</v>
      </c>
      <c r="J167" s="11">
        <v>65000</v>
      </c>
      <c r="K167" s="11">
        <f t="shared" si="16"/>
        <v>16250000</v>
      </c>
      <c r="L167" s="7">
        <f t="shared" si="21"/>
        <v>9750000</v>
      </c>
      <c r="M167" s="48">
        <f t="shared" ca="1" si="17"/>
        <v>173</v>
      </c>
      <c r="N167" s="6" t="str">
        <f t="shared" ca="1" si="22"/>
        <v>SAFE</v>
      </c>
      <c r="O167" s="29">
        <f t="shared" si="18"/>
        <v>6500000</v>
      </c>
      <c r="P167" s="38">
        <f t="shared" ca="1" si="23"/>
        <v>0</v>
      </c>
      <c r="Q167" s="8" t="str">
        <f t="shared" ca="1" si="19"/>
        <v>WARNING</v>
      </c>
      <c r="R167" s="30" t="str" cm="1">
        <f t="array" aca="1" ref="R167" ca="1">_xlfn.IFS(Q167="EXPIRED", "WRITE-OFF", Q167="WARNING", "FlASH SALE ", Q167="CRITICAL", "FEFO PRIORITY", Q167="SAFE", "REGULAR SALES")</f>
        <v xml:space="preserve">FlASH SALE </v>
      </c>
    </row>
    <row r="168" spans="1:18" x14ac:dyDescent="0.25">
      <c r="A168" s="4" t="s">
        <v>191</v>
      </c>
      <c r="B168" s="4" t="s">
        <v>29</v>
      </c>
      <c r="C168" s="5" t="s">
        <v>30</v>
      </c>
      <c r="D168" s="23" t="s">
        <v>10</v>
      </c>
      <c r="E168" s="18">
        <v>45831</v>
      </c>
      <c r="F168" s="18">
        <v>46464</v>
      </c>
      <c r="G168" s="6">
        <v>300</v>
      </c>
      <c r="H168" s="6">
        <f>SUMIF(Analysis_FEFO!$E$5:$E$174, A168, Analysis_FEFO!$G$5:$G$174)</f>
        <v>300</v>
      </c>
      <c r="I168" s="6">
        <f t="shared" si="20"/>
        <v>0</v>
      </c>
      <c r="J168" s="7">
        <v>26000</v>
      </c>
      <c r="K168" s="7">
        <f t="shared" si="16"/>
        <v>7800000</v>
      </c>
      <c r="L168" s="7">
        <f t="shared" si="21"/>
        <v>7800000</v>
      </c>
      <c r="M168" s="48">
        <f t="shared" ca="1" si="17"/>
        <v>142</v>
      </c>
      <c r="N168" s="6" t="str">
        <f t="shared" ca="1" si="22"/>
        <v>SAFE</v>
      </c>
      <c r="O168" s="29">
        <f t="shared" si="18"/>
        <v>0</v>
      </c>
      <c r="P168" s="38">
        <f t="shared" ca="1" si="23"/>
        <v>0</v>
      </c>
      <c r="Q168" s="4" t="str">
        <f t="shared" ca="1" si="19"/>
        <v>WARNING</v>
      </c>
      <c r="R168" s="30" t="str" cm="1">
        <f t="array" aca="1" ref="R168" ca="1">_xlfn.IFS(Q168="EXPIRED", "WRITE-OFF", Q168="WARNING", "FlASH SALE ", Q168="CRITICAL", "FEFO PRIORITY", Q168="SAFE", "REGULAR SALES")</f>
        <v xml:space="preserve">FlASH SALE </v>
      </c>
    </row>
    <row r="169" spans="1:18" x14ac:dyDescent="0.25">
      <c r="A169" s="8" t="s">
        <v>192</v>
      </c>
      <c r="B169" s="8" t="s">
        <v>29</v>
      </c>
      <c r="C169" s="9" t="s">
        <v>30</v>
      </c>
      <c r="D169" s="24" t="s">
        <v>10</v>
      </c>
      <c r="E169" s="19">
        <v>46018</v>
      </c>
      <c r="F169" s="19">
        <v>46377</v>
      </c>
      <c r="G169" s="10">
        <v>500</v>
      </c>
      <c r="H169" s="6">
        <f>SUMIF(Analysis_FEFO!$E$5:$E$174, A169, Analysis_FEFO!$G$5:$G$174)</f>
        <v>0</v>
      </c>
      <c r="I169" s="6">
        <f t="shared" si="20"/>
        <v>500</v>
      </c>
      <c r="J169" s="11">
        <v>27000</v>
      </c>
      <c r="K169" s="11">
        <f t="shared" si="16"/>
        <v>13500000</v>
      </c>
      <c r="L169" s="7">
        <f t="shared" si="21"/>
        <v>0</v>
      </c>
      <c r="M169" s="48">
        <f t="shared" ca="1" si="17"/>
        <v>55</v>
      </c>
      <c r="N169" s="6" t="str">
        <f t="shared" ca="1" si="22"/>
        <v>SAFE</v>
      </c>
      <c r="O169" s="29">
        <f t="shared" si="18"/>
        <v>13500000</v>
      </c>
      <c r="P169" s="38">
        <f t="shared" ca="1" si="23"/>
        <v>13500000</v>
      </c>
      <c r="Q169" s="8" t="str">
        <f t="shared" ca="1" si="19"/>
        <v>CRITICAL</v>
      </c>
      <c r="R169" s="30" t="str" cm="1">
        <f t="array" aca="1" ref="R169" ca="1">_xlfn.IFS(Q169="EXPIRED", "WRITE-OFF", Q169="WARNING", "FlASH SALE ", Q169="CRITICAL", "FEFO PRIORITY", Q169="SAFE", "REGULAR SALES")</f>
        <v>FEFO PRIORITY</v>
      </c>
    </row>
    <row r="170" spans="1:18" x14ac:dyDescent="0.25">
      <c r="A170" s="4" t="s">
        <v>193</v>
      </c>
      <c r="B170" s="4" t="s">
        <v>53</v>
      </c>
      <c r="C170" s="5" t="s">
        <v>54</v>
      </c>
      <c r="D170" s="23" t="s">
        <v>35</v>
      </c>
      <c r="E170" s="18">
        <v>45941</v>
      </c>
      <c r="F170" s="18">
        <v>46653</v>
      </c>
      <c r="G170" s="6">
        <v>300</v>
      </c>
      <c r="H170" s="6">
        <f>SUMIF(Analysis_FEFO!$E$5:$E$174, A170, Analysis_FEFO!$G$5:$G$174)</f>
        <v>0</v>
      </c>
      <c r="I170" s="6">
        <f t="shared" si="20"/>
        <v>300</v>
      </c>
      <c r="J170" s="7">
        <v>48000</v>
      </c>
      <c r="K170" s="7">
        <f t="shared" si="16"/>
        <v>14400000</v>
      </c>
      <c r="L170" s="7">
        <f t="shared" si="21"/>
        <v>0</v>
      </c>
      <c r="M170" s="48">
        <f t="shared" ca="1" si="17"/>
        <v>331</v>
      </c>
      <c r="N170" s="6" t="str">
        <f t="shared" ca="1" si="22"/>
        <v>SAFE</v>
      </c>
      <c r="O170" s="29">
        <f t="shared" si="18"/>
        <v>14400000</v>
      </c>
      <c r="P170" s="38">
        <f t="shared" ca="1" si="23"/>
        <v>0</v>
      </c>
      <c r="Q170" s="4" t="str">
        <f t="shared" ca="1" si="19"/>
        <v>SAFE</v>
      </c>
      <c r="R170" s="30" t="str" cm="1">
        <f t="array" aca="1" ref="R170" ca="1">_xlfn.IFS(Q170="EXPIRED", "WRITE-OFF", Q170="WARNING", "FlASH SALE ", Q170="CRITICAL", "FEFO PRIORITY", Q170="SAFE", "REGULAR SALES")</f>
        <v>REGULAR SALES</v>
      </c>
    </row>
    <row r="171" spans="1:18" x14ac:dyDescent="0.25">
      <c r="A171" s="8" t="s">
        <v>194</v>
      </c>
      <c r="B171" s="8" t="s">
        <v>33</v>
      </c>
      <c r="C171" s="9" t="s">
        <v>34</v>
      </c>
      <c r="D171" s="24" t="s">
        <v>35</v>
      </c>
      <c r="E171" s="19">
        <v>45859</v>
      </c>
      <c r="F171" s="19">
        <v>46576</v>
      </c>
      <c r="G171" s="10">
        <v>500</v>
      </c>
      <c r="H171" s="6">
        <f>SUMIF(Analysis_FEFO!$E$5:$E$174, A171, Analysis_FEFO!$G$5:$G$174)</f>
        <v>0</v>
      </c>
      <c r="I171" s="6">
        <f t="shared" si="20"/>
        <v>500</v>
      </c>
      <c r="J171" s="11">
        <v>62000</v>
      </c>
      <c r="K171" s="11">
        <f t="shared" si="16"/>
        <v>31000000</v>
      </c>
      <c r="L171" s="7">
        <f t="shared" si="21"/>
        <v>0</v>
      </c>
      <c r="M171" s="48">
        <f t="shared" ca="1" si="17"/>
        <v>254</v>
      </c>
      <c r="N171" s="6" t="str">
        <f t="shared" ca="1" si="22"/>
        <v>SAFE</v>
      </c>
      <c r="O171" s="29">
        <f t="shared" si="18"/>
        <v>31000000</v>
      </c>
      <c r="P171" s="38">
        <f t="shared" ca="1" si="23"/>
        <v>0</v>
      </c>
      <c r="Q171" s="8" t="str">
        <f t="shared" ca="1" si="19"/>
        <v>SAFE</v>
      </c>
      <c r="R171" s="30" t="str" cm="1">
        <f t="array" aca="1" ref="R171" ca="1">_xlfn.IFS(Q171="EXPIRED", "WRITE-OFF", Q171="WARNING", "FlASH SALE ", Q171="CRITICAL", "FEFO PRIORITY", Q171="SAFE", "REGULAR SALES")</f>
        <v>REGULAR SALES</v>
      </c>
    </row>
    <row r="172" spans="1:18" x14ac:dyDescent="0.25">
      <c r="A172" s="4" t="s">
        <v>195</v>
      </c>
      <c r="B172" s="4" t="s">
        <v>4</v>
      </c>
      <c r="C172" s="5" t="s">
        <v>5</v>
      </c>
      <c r="D172" s="23" t="s">
        <v>6</v>
      </c>
      <c r="E172" s="18">
        <v>46065</v>
      </c>
      <c r="F172" s="18">
        <v>46585</v>
      </c>
      <c r="G172" s="6">
        <v>200</v>
      </c>
      <c r="H172" s="6">
        <f>SUMIF(Analysis_FEFO!$E$5:$E$174, A172, Analysis_FEFO!$G$5:$G$174)</f>
        <v>0</v>
      </c>
      <c r="I172" s="6">
        <f t="shared" si="20"/>
        <v>200</v>
      </c>
      <c r="J172" s="7">
        <v>78000</v>
      </c>
      <c r="K172" s="7">
        <f t="shared" si="16"/>
        <v>15600000</v>
      </c>
      <c r="L172" s="7">
        <f t="shared" si="21"/>
        <v>0</v>
      </c>
      <c r="M172" s="48">
        <f t="shared" ca="1" si="17"/>
        <v>263</v>
      </c>
      <c r="N172" s="6" t="str">
        <f t="shared" ca="1" si="22"/>
        <v>SAFE</v>
      </c>
      <c r="O172" s="29">
        <f t="shared" si="18"/>
        <v>15600000</v>
      </c>
      <c r="P172" s="38">
        <f t="shared" ca="1" si="23"/>
        <v>0</v>
      </c>
      <c r="Q172" s="4" t="str">
        <f t="shared" ca="1" si="19"/>
        <v>SAFE</v>
      </c>
      <c r="R172" s="30" t="str" cm="1">
        <f t="array" aca="1" ref="R172" ca="1">_xlfn.IFS(Q172="EXPIRED", "WRITE-OFF", Q172="WARNING", "FlASH SALE ", Q172="CRITICAL", "FEFO PRIORITY", Q172="SAFE", "REGULAR SALES")</f>
        <v>REGULAR SALES</v>
      </c>
    </row>
    <row r="173" spans="1:18" x14ac:dyDescent="0.25">
      <c r="A173" s="8" t="s">
        <v>196</v>
      </c>
      <c r="B173" s="8" t="s">
        <v>12</v>
      </c>
      <c r="C173" s="9" t="s">
        <v>13</v>
      </c>
      <c r="D173" s="24" t="s">
        <v>14</v>
      </c>
      <c r="E173" s="19">
        <v>45809</v>
      </c>
      <c r="F173" s="19">
        <v>46356</v>
      </c>
      <c r="G173" s="10">
        <v>200</v>
      </c>
      <c r="H173" s="6">
        <f>SUMIF(Analysis_FEFO!$E$5:$E$174, A173, Analysis_FEFO!$G$5:$G$174)</f>
        <v>0</v>
      </c>
      <c r="I173" s="6">
        <f t="shared" si="20"/>
        <v>200</v>
      </c>
      <c r="J173" s="11">
        <v>34000</v>
      </c>
      <c r="K173" s="11">
        <f t="shared" si="16"/>
        <v>6800000</v>
      </c>
      <c r="L173" s="7">
        <f t="shared" si="21"/>
        <v>0</v>
      </c>
      <c r="M173" s="48">
        <f t="shared" ca="1" si="17"/>
        <v>34</v>
      </c>
      <c r="N173" s="6" t="str">
        <f t="shared" ca="1" si="22"/>
        <v>SAFE</v>
      </c>
      <c r="O173" s="29">
        <f t="shared" si="18"/>
        <v>6800000</v>
      </c>
      <c r="P173" s="38">
        <f t="shared" ca="1" si="23"/>
        <v>6800000</v>
      </c>
      <c r="Q173" s="8" t="str">
        <f t="shared" ca="1" si="19"/>
        <v>CRITICAL</v>
      </c>
      <c r="R173" s="30" t="str" cm="1">
        <f t="array" aca="1" ref="R173" ca="1">_xlfn.IFS(Q173="EXPIRED", "WRITE-OFF", Q173="WARNING", "FlASH SALE ", Q173="CRITICAL", "FEFO PRIORITY", Q173="SAFE", "REGULAR SALES")</f>
        <v>FEFO PRIORITY</v>
      </c>
    </row>
    <row r="174" spans="1:18" x14ac:dyDescent="0.25">
      <c r="A174" s="4" t="s">
        <v>197</v>
      </c>
      <c r="B174" s="4" t="s">
        <v>16</v>
      </c>
      <c r="C174" s="5" t="s">
        <v>17</v>
      </c>
      <c r="D174" s="23" t="s">
        <v>6</v>
      </c>
      <c r="E174" s="18">
        <v>45945</v>
      </c>
      <c r="F174" s="18">
        <v>46499</v>
      </c>
      <c r="G174" s="6">
        <v>100</v>
      </c>
      <c r="H174" s="6">
        <f>SUMIF(Analysis_FEFO!$E$5:$E$174, A174, Analysis_FEFO!$G$5:$G$174)</f>
        <v>0</v>
      </c>
      <c r="I174" s="6">
        <f t="shared" si="20"/>
        <v>100</v>
      </c>
      <c r="J174" s="7">
        <v>68000</v>
      </c>
      <c r="K174" s="7">
        <f t="shared" si="16"/>
        <v>6800000</v>
      </c>
      <c r="L174" s="7">
        <f t="shared" si="21"/>
        <v>0</v>
      </c>
      <c r="M174" s="48">
        <f t="shared" ca="1" si="17"/>
        <v>177</v>
      </c>
      <c r="N174" s="6" t="str">
        <f t="shared" ca="1" si="22"/>
        <v>SAFE</v>
      </c>
      <c r="O174" s="29">
        <f t="shared" si="18"/>
        <v>6800000</v>
      </c>
      <c r="P174" s="38">
        <f t="shared" ca="1" si="23"/>
        <v>0</v>
      </c>
      <c r="Q174" s="4" t="str">
        <f t="shared" ca="1" si="19"/>
        <v>WARNING</v>
      </c>
      <c r="R174" s="30" t="str" cm="1">
        <f t="array" aca="1" ref="R174" ca="1">_xlfn.IFS(Q174="EXPIRED", "WRITE-OFF", Q174="WARNING", "FlASH SALE ", Q174="CRITICAL", "FEFO PRIORITY", Q174="SAFE", "REGULAR SALES")</f>
        <v xml:space="preserve">FlASH SALE </v>
      </c>
    </row>
    <row r="175" spans="1:18" x14ac:dyDescent="0.25">
      <c r="A175" s="8" t="s">
        <v>198</v>
      </c>
      <c r="B175" s="8" t="s">
        <v>8</v>
      </c>
      <c r="C175" s="9" t="s">
        <v>9</v>
      </c>
      <c r="D175" s="24" t="s">
        <v>10</v>
      </c>
      <c r="E175" s="19">
        <v>45871</v>
      </c>
      <c r="F175" s="19">
        <v>46516</v>
      </c>
      <c r="G175" s="10">
        <v>750</v>
      </c>
      <c r="H175" s="6">
        <f>SUMIF(Analysis_FEFO!$E$5:$E$174, A175, Analysis_FEFO!$G$5:$G$174)</f>
        <v>0</v>
      </c>
      <c r="I175" s="6">
        <f t="shared" si="20"/>
        <v>750</v>
      </c>
      <c r="J175" s="11">
        <v>33000</v>
      </c>
      <c r="K175" s="11">
        <f t="shared" si="16"/>
        <v>24750000</v>
      </c>
      <c r="L175" s="7">
        <f t="shared" si="21"/>
        <v>0</v>
      </c>
      <c r="M175" s="48">
        <f t="shared" ca="1" si="17"/>
        <v>194</v>
      </c>
      <c r="N175" s="6" t="str">
        <f t="shared" ca="1" si="22"/>
        <v>SAFE</v>
      </c>
      <c r="O175" s="29">
        <f t="shared" si="18"/>
        <v>24750000</v>
      </c>
      <c r="P175" s="38">
        <f t="shared" ca="1" si="23"/>
        <v>0</v>
      </c>
      <c r="Q175" s="8" t="str">
        <f t="shared" ca="1" si="19"/>
        <v>SAFE</v>
      </c>
      <c r="R175" s="30" t="str" cm="1">
        <f t="array" aca="1" ref="R175" ca="1">_xlfn.IFS(Q175="EXPIRED", "WRITE-OFF", Q175="WARNING", "FlASH SALE ", Q175="CRITICAL", "FEFO PRIORITY", Q175="SAFE", "REGULAR SALES")</f>
        <v>REGULAR SALES</v>
      </c>
    </row>
    <row r="176" spans="1:18" x14ac:dyDescent="0.25">
      <c r="A176" s="4" t="s">
        <v>199</v>
      </c>
      <c r="B176" s="4" t="s">
        <v>4</v>
      </c>
      <c r="C176" s="5" t="s">
        <v>5</v>
      </c>
      <c r="D176" s="23" t="s">
        <v>6</v>
      </c>
      <c r="E176" s="18">
        <v>46018</v>
      </c>
      <c r="F176" s="18">
        <v>46664</v>
      </c>
      <c r="G176" s="6">
        <v>250</v>
      </c>
      <c r="H176" s="6">
        <f>SUMIF(Analysis_FEFO!$E$5:$E$174, A176, Analysis_FEFO!$G$5:$G$174)</f>
        <v>0</v>
      </c>
      <c r="I176" s="6">
        <f t="shared" si="20"/>
        <v>250</v>
      </c>
      <c r="J176" s="7">
        <v>85000</v>
      </c>
      <c r="K176" s="7">
        <f t="shared" si="16"/>
        <v>21250000</v>
      </c>
      <c r="L176" s="7">
        <f t="shared" si="21"/>
        <v>0</v>
      </c>
      <c r="M176" s="48">
        <f t="shared" ca="1" si="17"/>
        <v>342</v>
      </c>
      <c r="N176" s="6" t="str">
        <f t="shared" ca="1" si="22"/>
        <v>SAFE</v>
      </c>
      <c r="O176" s="29">
        <f t="shared" si="18"/>
        <v>21250000</v>
      </c>
      <c r="P176" s="38">
        <f t="shared" ca="1" si="23"/>
        <v>0</v>
      </c>
      <c r="Q176" s="4" t="str">
        <f t="shared" ca="1" si="19"/>
        <v>SAFE</v>
      </c>
      <c r="R176" s="30" t="str" cm="1">
        <f t="array" aca="1" ref="R176" ca="1">_xlfn.IFS(Q176="EXPIRED", "WRITE-OFF", Q176="WARNING", "FlASH SALE ", Q176="CRITICAL", "FEFO PRIORITY", Q176="SAFE", "REGULAR SALES")</f>
        <v>REGULAR SALES</v>
      </c>
    </row>
    <row r="177" spans="1:18" x14ac:dyDescent="0.25">
      <c r="A177" s="8" t="s">
        <v>200</v>
      </c>
      <c r="B177" s="8" t="s">
        <v>8</v>
      </c>
      <c r="C177" s="9" t="s">
        <v>9</v>
      </c>
      <c r="D177" s="24" t="s">
        <v>10</v>
      </c>
      <c r="E177" s="19">
        <v>45990</v>
      </c>
      <c r="F177" s="19">
        <v>46526</v>
      </c>
      <c r="G177" s="10">
        <v>200</v>
      </c>
      <c r="H177" s="6">
        <f>SUMIF(Analysis_FEFO!$E$5:$E$174, A177, Analysis_FEFO!$G$5:$G$174)</f>
        <v>0</v>
      </c>
      <c r="I177" s="6">
        <f t="shared" si="20"/>
        <v>200</v>
      </c>
      <c r="J177" s="11">
        <v>36000</v>
      </c>
      <c r="K177" s="11">
        <f t="shared" si="16"/>
        <v>7200000</v>
      </c>
      <c r="L177" s="7">
        <f t="shared" si="21"/>
        <v>0</v>
      </c>
      <c r="M177" s="48">
        <f t="shared" ca="1" si="17"/>
        <v>204</v>
      </c>
      <c r="N177" s="6" t="str">
        <f t="shared" ca="1" si="22"/>
        <v>SAFE</v>
      </c>
      <c r="O177" s="29">
        <f t="shared" si="18"/>
        <v>7200000</v>
      </c>
      <c r="P177" s="38">
        <f t="shared" ca="1" si="23"/>
        <v>0</v>
      </c>
      <c r="Q177" s="8" t="str">
        <f t="shared" ca="1" si="19"/>
        <v>SAFE</v>
      </c>
      <c r="R177" s="30" t="str" cm="1">
        <f t="array" aca="1" ref="R177" ca="1">_xlfn.IFS(Q177="EXPIRED", "WRITE-OFF", Q177="WARNING", "FlASH SALE ", Q177="CRITICAL", "FEFO PRIORITY", Q177="SAFE", "REGULAR SALES")</f>
        <v>REGULAR SALES</v>
      </c>
    </row>
    <row r="178" spans="1:18" x14ac:dyDescent="0.25">
      <c r="A178" s="4" t="s">
        <v>201</v>
      </c>
      <c r="B178" s="4" t="s">
        <v>29</v>
      </c>
      <c r="C178" s="5" t="s">
        <v>30</v>
      </c>
      <c r="D178" s="23" t="s">
        <v>10</v>
      </c>
      <c r="E178" s="18">
        <v>45969</v>
      </c>
      <c r="F178" s="18">
        <v>46599</v>
      </c>
      <c r="G178" s="6">
        <v>300</v>
      </c>
      <c r="H178" s="6">
        <f>SUMIF(Analysis_FEFO!$E$5:$E$174, A178, Analysis_FEFO!$G$5:$G$174)</f>
        <v>0</v>
      </c>
      <c r="I178" s="6">
        <f t="shared" si="20"/>
        <v>300</v>
      </c>
      <c r="J178" s="7">
        <v>28000</v>
      </c>
      <c r="K178" s="7">
        <f t="shared" si="16"/>
        <v>8400000</v>
      </c>
      <c r="L178" s="7">
        <f t="shared" si="21"/>
        <v>0</v>
      </c>
      <c r="M178" s="48">
        <f t="shared" ca="1" si="17"/>
        <v>277</v>
      </c>
      <c r="N178" s="6" t="str">
        <f t="shared" ca="1" si="22"/>
        <v>SAFE</v>
      </c>
      <c r="O178" s="29">
        <f t="shared" si="18"/>
        <v>8400000</v>
      </c>
      <c r="P178" s="38">
        <f t="shared" ca="1" si="23"/>
        <v>0</v>
      </c>
      <c r="Q178" s="4" t="str">
        <f t="shared" ca="1" si="19"/>
        <v>SAFE</v>
      </c>
      <c r="R178" s="30" t="str" cm="1">
        <f t="array" aca="1" ref="R178" ca="1">_xlfn.IFS(Q178="EXPIRED", "WRITE-OFF", Q178="WARNING", "FlASH SALE ", Q178="CRITICAL", "FEFO PRIORITY", Q178="SAFE", "REGULAR SALES")</f>
        <v>REGULAR SALES</v>
      </c>
    </row>
    <row r="179" spans="1:18" x14ac:dyDescent="0.25">
      <c r="A179" s="8" t="s">
        <v>202</v>
      </c>
      <c r="B179" s="8" t="s">
        <v>25</v>
      </c>
      <c r="C179" s="9" t="s">
        <v>26</v>
      </c>
      <c r="D179" s="24" t="s">
        <v>27</v>
      </c>
      <c r="E179" s="19">
        <v>45857</v>
      </c>
      <c r="F179" s="19">
        <v>46406</v>
      </c>
      <c r="G179" s="10">
        <v>250</v>
      </c>
      <c r="H179" s="6">
        <f>SUMIF(Analysis_FEFO!$E$5:$E$174, A179, Analysis_FEFO!$G$5:$G$174)</f>
        <v>250</v>
      </c>
      <c r="I179" s="6">
        <f t="shared" si="20"/>
        <v>0</v>
      </c>
      <c r="J179" s="11">
        <v>58000</v>
      </c>
      <c r="K179" s="11">
        <f t="shared" si="16"/>
        <v>14500000</v>
      </c>
      <c r="L179" s="7">
        <f t="shared" si="21"/>
        <v>14500000</v>
      </c>
      <c r="M179" s="48">
        <f t="shared" ca="1" si="17"/>
        <v>84</v>
      </c>
      <c r="N179" s="6" t="str">
        <f t="shared" ca="1" si="22"/>
        <v>SAFE</v>
      </c>
      <c r="O179" s="29">
        <f t="shared" si="18"/>
        <v>0</v>
      </c>
      <c r="P179" s="38">
        <f t="shared" ca="1" si="23"/>
        <v>0</v>
      </c>
      <c r="Q179" s="8" t="str">
        <f t="shared" ca="1" si="19"/>
        <v>WARNING</v>
      </c>
      <c r="R179" s="30" t="str" cm="1">
        <f t="array" aca="1" ref="R179" ca="1">_xlfn.IFS(Q179="EXPIRED", "WRITE-OFF", Q179="WARNING", "FlASH SALE ", Q179="CRITICAL", "FEFO PRIORITY", Q179="SAFE", "REGULAR SALES")</f>
        <v xml:space="preserve">FlASH SALE </v>
      </c>
    </row>
    <row r="180" spans="1:18" x14ac:dyDescent="0.25">
      <c r="A180" s="4" t="s">
        <v>203</v>
      </c>
      <c r="B180" s="4" t="s">
        <v>12</v>
      </c>
      <c r="C180" s="5" t="s">
        <v>13</v>
      </c>
      <c r="D180" s="23" t="s">
        <v>14</v>
      </c>
      <c r="E180" s="18">
        <v>45871</v>
      </c>
      <c r="F180" s="18">
        <v>46592</v>
      </c>
      <c r="G180" s="6">
        <v>200</v>
      </c>
      <c r="H180" s="6">
        <f>SUMIF(Analysis_FEFO!$E$5:$E$174, A180, Analysis_FEFO!$G$5:$G$174)</f>
        <v>0</v>
      </c>
      <c r="I180" s="6">
        <f t="shared" si="20"/>
        <v>200</v>
      </c>
      <c r="J180" s="7">
        <v>35000</v>
      </c>
      <c r="K180" s="7">
        <f t="shared" si="16"/>
        <v>7000000</v>
      </c>
      <c r="L180" s="7">
        <f t="shared" si="21"/>
        <v>0</v>
      </c>
      <c r="M180" s="48">
        <f t="shared" ca="1" si="17"/>
        <v>270</v>
      </c>
      <c r="N180" s="6" t="str">
        <f t="shared" ca="1" si="22"/>
        <v>SAFE</v>
      </c>
      <c r="O180" s="29">
        <f t="shared" si="18"/>
        <v>7000000</v>
      </c>
      <c r="P180" s="38">
        <f t="shared" ca="1" si="23"/>
        <v>0</v>
      </c>
      <c r="Q180" s="4" t="str">
        <f t="shared" ca="1" si="19"/>
        <v>SAFE</v>
      </c>
      <c r="R180" s="30" t="str" cm="1">
        <f t="array" aca="1" ref="R180" ca="1">_xlfn.IFS(Q180="EXPIRED", "WRITE-OFF", Q180="WARNING", "FlASH SALE ", Q180="CRITICAL", "FEFO PRIORITY", Q180="SAFE", "REGULAR SALES")</f>
        <v>REGULAR SALES</v>
      </c>
    </row>
    <row r="181" spans="1:18" x14ac:dyDescent="0.25">
      <c r="A181" s="8" t="s">
        <v>204</v>
      </c>
      <c r="B181" s="8" t="s">
        <v>4</v>
      </c>
      <c r="C181" s="9" t="s">
        <v>5</v>
      </c>
      <c r="D181" s="24" t="s">
        <v>6</v>
      </c>
      <c r="E181" s="19">
        <v>46019</v>
      </c>
      <c r="F181" s="19">
        <v>46303</v>
      </c>
      <c r="G181" s="10">
        <v>200</v>
      </c>
      <c r="H181" s="6">
        <f>SUMIF(Analysis_FEFO!$E$5:$E$174, A181, Analysis_FEFO!$G$5:$G$174)</f>
        <v>0</v>
      </c>
      <c r="I181" s="6">
        <f t="shared" si="20"/>
        <v>200</v>
      </c>
      <c r="J181" s="11">
        <v>87000</v>
      </c>
      <c r="K181" s="11">
        <f t="shared" si="16"/>
        <v>17400000</v>
      </c>
      <c r="L181" s="7">
        <f t="shared" si="21"/>
        <v>0</v>
      </c>
      <c r="M181" s="48">
        <f t="shared" ca="1" si="17"/>
        <v>-19</v>
      </c>
      <c r="N181" s="6" t="str">
        <f t="shared" ca="1" si="22"/>
        <v>EXPIRED</v>
      </c>
      <c r="O181" s="29">
        <f t="shared" si="18"/>
        <v>17400000</v>
      </c>
      <c r="P181" s="38">
        <f t="shared" ca="1" si="23"/>
        <v>17400000</v>
      </c>
      <c r="Q181" s="8" t="str">
        <f t="shared" ca="1" si="19"/>
        <v>EXPIRED</v>
      </c>
      <c r="R181" s="30" t="str" cm="1">
        <f t="array" aca="1" ref="R181" ca="1">_xlfn.IFS(Q181="EXPIRED", "WRITE-OFF", Q181="WARNING", "FlASH SALE ", Q181="CRITICAL", "FEFO PRIORITY", Q181="SAFE", "REGULAR SALES")</f>
        <v>WRITE-OFF</v>
      </c>
    </row>
    <row r="182" spans="1:18" x14ac:dyDescent="0.25">
      <c r="A182" s="4" t="s">
        <v>205</v>
      </c>
      <c r="B182" s="4" t="s">
        <v>29</v>
      </c>
      <c r="C182" s="5" t="s">
        <v>30</v>
      </c>
      <c r="D182" s="23" t="s">
        <v>10</v>
      </c>
      <c r="E182" s="18">
        <v>45827</v>
      </c>
      <c r="F182" s="18">
        <v>45975</v>
      </c>
      <c r="G182" s="6">
        <v>500</v>
      </c>
      <c r="H182" s="6">
        <f>SUMIF(Analysis_FEFO!$E$5:$E$174, A182, Analysis_FEFO!$G$5:$G$174)</f>
        <v>500</v>
      </c>
      <c r="I182" s="6">
        <f t="shared" si="20"/>
        <v>0</v>
      </c>
      <c r="J182" s="7">
        <v>26000</v>
      </c>
      <c r="K182" s="7">
        <f t="shared" si="16"/>
        <v>13000000</v>
      </c>
      <c r="L182" s="7">
        <f t="shared" si="21"/>
        <v>13000000</v>
      </c>
      <c r="M182" s="48">
        <f t="shared" ca="1" si="17"/>
        <v>-347</v>
      </c>
      <c r="N182" s="6" t="str">
        <f t="shared" ca="1" si="22"/>
        <v>EXPIRED</v>
      </c>
      <c r="O182" s="29">
        <f t="shared" si="18"/>
        <v>0</v>
      </c>
      <c r="P182" s="38">
        <f t="shared" ca="1" si="23"/>
        <v>0</v>
      </c>
      <c r="Q182" s="4" t="str">
        <f t="shared" ca="1" si="19"/>
        <v>EXPIRED</v>
      </c>
      <c r="R182" s="30" t="str" cm="1">
        <f t="array" aca="1" ref="R182" ca="1">_xlfn.IFS(Q182="EXPIRED", "WRITE-OFF", Q182="WARNING", "FlASH SALE ", Q182="CRITICAL", "FEFO PRIORITY", Q182="SAFE", "REGULAR SALES")</f>
        <v>WRITE-OFF</v>
      </c>
    </row>
    <row r="183" spans="1:18" x14ac:dyDescent="0.25">
      <c r="A183" s="8" t="s">
        <v>206</v>
      </c>
      <c r="B183" s="8" t="s">
        <v>25</v>
      </c>
      <c r="C183" s="9" t="s">
        <v>26</v>
      </c>
      <c r="D183" s="24" t="s">
        <v>27</v>
      </c>
      <c r="E183" s="19">
        <v>45921</v>
      </c>
      <c r="F183" s="19">
        <v>46546</v>
      </c>
      <c r="G183" s="10">
        <v>500</v>
      </c>
      <c r="H183" s="6">
        <f>SUMIF(Analysis_FEFO!$E$5:$E$174, A183, Analysis_FEFO!$G$5:$G$174)</f>
        <v>500</v>
      </c>
      <c r="I183" s="6">
        <f t="shared" si="20"/>
        <v>0</v>
      </c>
      <c r="J183" s="11">
        <v>58000</v>
      </c>
      <c r="K183" s="11">
        <f t="shared" si="16"/>
        <v>29000000</v>
      </c>
      <c r="L183" s="7">
        <f t="shared" si="21"/>
        <v>29000000</v>
      </c>
      <c r="M183" s="48">
        <f t="shared" ca="1" si="17"/>
        <v>224</v>
      </c>
      <c r="N183" s="6" t="str">
        <f t="shared" ca="1" si="22"/>
        <v>SAFE</v>
      </c>
      <c r="O183" s="29">
        <f t="shared" si="18"/>
        <v>0</v>
      </c>
      <c r="P183" s="38">
        <f t="shared" ca="1" si="23"/>
        <v>0</v>
      </c>
      <c r="Q183" s="8" t="str">
        <f t="shared" ca="1" si="19"/>
        <v>SAFE</v>
      </c>
      <c r="R183" s="30" t="str" cm="1">
        <f t="array" aca="1" ref="R183" ca="1">_xlfn.IFS(Q183="EXPIRED", "WRITE-OFF", Q183="WARNING", "FlASH SALE ", Q183="CRITICAL", "FEFO PRIORITY", Q183="SAFE", "REGULAR SALES")</f>
        <v>REGULAR SALES</v>
      </c>
    </row>
    <row r="184" spans="1:18" x14ac:dyDescent="0.25">
      <c r="A184" s="4" t="s">
        <v>207</v>
      </c>
      <c r="B184" s="4" t="s">
        <v>19</v>
      </c>
      <c r="C184" s="5" t="s">
        <v>20</v>
      </c>
      <c r="D184" s="23" t="s">
        <v>21</v>
      </c>
      <c r="E184" s="18">
        <v>46072</v>
      </c>
      <c r="F184" s="18">
        <v>46603</v>
      </c>
      <c r="G184" s="6">
        <v>500</v>
      </c>
      <c r="H184" s="6">
        <f>SUMIF(Analysis_FEFO!$E$5:$E$174, A184, Analysis_FEFO!$G$5:$G$174)</f>
        <v>0</v>
      </c>
      <c r="I184" s="6">
        <f t="shared" si="20"/>
        <v>500</v>
      </c>
      <c r="J184" s="7">
        <v>46000</v>
      </c>
      <c r="K184" s="7">
        <f t="shared" si="16"/>
        <v>23000000</v>
      </c>
      <c r="L184" s="7">
        <f t="shared" si="21"/>
        <v>0</v>
      </c>
      <c r="M184" s="48">
        <f t="shared" ca="1" si="17"/>
        <v>281</v>
      </c>
      <c r="N184" s="6" t="str">
        <f t="shared" ca="1" si="22"/>
        <v>SAFE</v>
      </c>
      <c r="O184" s="29">
        <f t="shared" si="18"/>
        <v>23000000</v>
      </c>
      <c r="P184" s="38">
        <f t="shared" ca="1" si="23"/>
        <v>0</v>
      </c>
      <c r="Q184" s="4" t="str">
        <f t="shared" ca="1" si="19"/>
        <v>SAFE</v>
      </c>
      <c r="R184" s="30" t="str" cm="1">
        <f t="array" aca="1" ref="R184" ca="1">_xlfn.IFS(Q184="EXPIRED", "WRITE-OFF", Q184="WARNING", "FlASH SALE ", Q184="CRITICAL", "FEFO PRIORITY", Q184="SAFE", "REGULAR SALES")</f>
        <v>REGULAR SALES</v>
      </c>
    </row>
    <row r="185" spans="1:18" x14ac:dyDescent="0.25">
      <c r="A185" s="8" t="s">
        <v>208</v>
      </c>
      <c r="B185" s="8" t="s">
        <v>33</v>
      </c>
      <c r="C185" s="9" t="s">
        <v>34</v>
      </c>
      <c r="D185" s="24" t="s">
        <v>35</v>
      </c>
      <c r="E185" s="19">
        <v>45970</v>
      </c>
      <c r="F185" s="19">
        <v>46247</v>
      </c>
      <c r="G185" s="10">
        <v>1000</v>
      </c>
      <c r="H185" s="6">
        <f>SUMIF(Analysis_FEFO!$E$5:$E$174, A185, Analysis_FEFO!$G$5:$G$174)</f>
        <v>0</v>
      </c>
      <c r="I185" s="6">
        <f t="shared" si="20"/>
        <v>1000</v>
      </c>
      <c r="J185" s="11">
        <v>53000</v>
      </c>
      <c r="K185" s="11">
        <f t="shared" si="16"/>
        <v>53000000</v>
      </c>
      <c r="L185" s="7">
        <f t="shared" si="21"/>
        <v>0</v>
      </c>
      <c r="M185" s="48">
        <f t="shared" ca="1" si="17"/>
        <v>-75</v>
      </c>
      <c r="N185" s="6" t="str">
        <f t="shared" ca="1" si="22"/>
        <v>EXPIRED</v>
      </c>
      <c r="O185" s="29">
        <f t="shared" si="18"/>
        <v>53000000</v>
      </c>
      <c r="P185" s="38">
        <f t="shared" ca="1" si="23"/>
        <v>53000000</v>
      </c>
      <c r="Q185" s="8" t="str">
        <f t="shared" ca="1" si="19"/>
        <v>EXPIRED</v>
      </c>
      <c r="R185" s="30" t="str" cm="1">
        <f t="array" aca="1" ref="R185" ca="1">_xlfn.IFS(Q185="EXPIRED", "WRITE-OFF", Q185="WARNING", "FlASH SALE ", Q185="CRITICAL", "FEFO PRIORITY", Q185="SAFE", "REGULAR SALES")</f>
        <v>WRITE-OFF</v>
      </c>
    </row>
    <row r="186" spans="1:18" x14ac:dyDescent="0.25">
      <c r="A186" s="4" t="s">
        <v>209</v>
      </c>
      <c r="B186" s="4" t="s">
        <v>4</v>
      </c>
      <c r="C186" s="5" t="s">
        <v>5</v>
      </c>
      <c r="D186" s="23" t="s">
        <v>6</v>
      </c>
      <c r="E186" s="18">
        <v>45816</v>
      </c>
      <c r="F186" s="18">
        <v>45913</v>
      </c>
      <c r="G186" s="6">
        <v>200</v>
      </c>
      <c r="H186" s="6">
        <f>SUMIF(Analysis_FEFO!$E$5:$E$174, A186, Analysis_FEFO!$G$5:$G$174)</f>
        <v>200</v>
      </c>
      <c r="I186" s="6">
        <f t="shared" si="20"/>
        <v>0</v>
      </c>
      <c r="J186" s="7">
        <v>81000</v>
      </c>
      <c r="K186" s="7">
        <f t="shared" si="16"/>
        <v>16200000</v>
      </c>
      <c r="L186" s="7">
        <f t="shared" si="21"/>
        <v>16200000</v>
      </c>
      <c r="M186" s="48">
        <f t="shared" ca="1" si="17"/>
        <v>-409</v>
      </c>
      <c r="N186" s="6" t="str">
        <f t="shared" ca="1" si="22"/>
        <v>EXPIRED</v>
      </c>
      <c r="O186" s="29">
        <f t="shared" si="18"/>
        <v>0</v>
      </c>
      <c r="P186" s="38">
        <f t="shared" ca="1" si="23"/>
        <v>0</v>
      </c>
      <c r="Q186" s="4" t="str">
        <f t="shared" ca="1" si="19"/>
        <v>EXPIRED</v>
      </c>
      <c r="R186" s="30" t="str" cm="1">
        <f t="array" aca="1" ref="R186" ca="1">_xlfn.IFS(Q186="EXPIRED", "WRITE-OFF", Q186="WARNING", "FlASH SALE ", Q186="CRITICAL", "FEFO PRIORITY", Q186="SAFE", "REGULAR SALES")</f>
        <v>WRITE-OFF</v>
      </c>
    </row>
    <row r="187" spans="1:18" x14ac:dyDescent="0.25">
      <c r="A187" s="8" t="s">
        <v>210</v>
      </c>
      <c r="B187" s="8" t="s">
        <v>29</v>
      </c>
      <c r="C187" s="9" t="s">
        <v>30</v>
      </c>
      <c r="D187" s="24" t="s">
        <v>10</v>
      </c>
      <c r="E187" s="19">
        <v>45862</v>
      </c>
      <c r="F187" s="19">
        <v>46121</v>
      </c>
      <c r="G187" s="10">
        <v>200</v>
      </c>
      <c r="H187" s="6">
        <f>SUMIF(Analysis_FEFO!$E$5:$E$174, A187, Analysis_FEFO!$G$5:$G$174)</f>
        <v>0</v>
      </c>
      <c r="I187" s="6">
        <f t="shared" si="20"/>
        <v>200</v>
      </c>
      <c r="J187" s="11">
        <v>25000</v>
      </c>
      <c r="K187" s="11">
        <f t="shared" si="16"/>
        <v>5000000</v>
      </c>
      <c r="L187" s="7">
        <f t="shared" si="21"/>
        <v>0</v>
      </c>
      <c r="M187" s="48">
        <f t="shared" ca="1" si="17"/>
        <v>-201</v>
      </c>
      <c r="N187" s="6" t="str">
        <f t="shared" ca="1" si="22"/>
        <v>EXPIRED</v>
      </c>
      <c r="O187" s="29">
        <f t="shared" si="18"/>
        <v>5000000</v>
      </c>
      <c r="P187" s="38">
        <f t="shared" ca="1" si="23"/>
        <v>5000000</v>
      </c>
      <c r="Q187" s="8" t="str">
        <f t="shared" ca="1" si="19"/>
        <v>EXPIRED</v>
      </c>
      <c r="R187" s="30" t="str" cm="1">
        <f t="array" aca="1" ref="R187" ca="1">_xlfn.IFS(Q187="EXPIRED", "WRITE-OFF", Q187="WARNING", "FlASH SALE ", Q187="CRITICAL", "FEFO PRIORITY", Q187="SAFE", "REGULAR SALES")</f>
        <v>WRITE-OFF</v>
      </c>
    </row>
    <row r="188" spans="1:18" x14ac:dyDescent="0.25">
      <c r="A188" s="4" t="s">
        <v>211</v>
      </c>
      <c r="B188" s="4" t="s">
        <v>29</v>
      </c>
      <c r="C188" s="5" t="s">
        <v>30</v>
      </c>
      <c r="D188" s="23" t="s">
        <v>10</v>
      </c>
      <c r="E188" s="18">
        <v>46099</v>
      </c>
      <c r="F188" s="18">
        <v>46277</v>
      </c>
      <c r="G188" s="6">
        <v>300</v>
      </c>
      <c r="H188" s="6">
        <f>SUMIF(Analysis_FEFO!$E$5:$E$174, A188, Analysis_FEFO!$G$5:$G$174)</f>
        <v>0</v>
      </c>
      <c r="I188" s="6">
        <f t="shared" si="20"/>
        <v>300</v>
      </c>
      <c r="J188" s="7">
        <v>30000</v>
      </c>
      <c r="K188" s="7">
        <f t="shared" si="16"/>
        <v>9000000</v>
      </c>
      <c r="L188" s="7">
        <f t="shared" si="21"/>
        <v>0</v>
      </c>
      <c r="M188" s="48">
        <f t="shared" ca="1" si="17"/>
        <v>-45</v>
      </c>
      <c r="N188" s="6" t="str">
        <f t="shared" ca="1" si="22"/>
        <v>EXPIRED</v>
      </c>
      <c r="O188" s="29">
        <f t="shared" si="18"/>
        <v>9000000</v>
      </c>
      <c r="P188" s="38">
        <f t="shared" ca="1" si="23"/>
        <v>9000000</v>
      </c>
      <c r="Q188" s="4" t="str">
        <f t="shared" ca="1" si="19"/>
        <v>EXPIRED</v>
      </c>
      <c r="R188" s="30" t="str" cm="1">
        <f t="array" aca="1" ref="R188" ca="1">_xlfn.IFS(Q188="EXPIRED", "WRITE-OFF", Q188="WARNING", "FlASH SALE ", Q188="CRITICAL", "FEFO PRIORITY", Q188="SAFE", "REGULAR SALES")</f>
        <v>WRITE-OFF</v>
      </c>
    </row>
    <row r="189" spans="1:18" x14ac:dyDescent="0.25">
      <c r="A189" s="8" t="s">
        <v>212</v>
      </c>
      <c r="B189" s="8" t="s">
        <v>53</v>
      </c>
      <c r="C189" s="9" t="s">
        <v>54</v>
      </c>
      <c r="D189" s="24" t="s">
        <v>35</v>
      </c>
      <c r="E189" s="19">
        <v>45973</v>
      </c>
      <c r="F189" s="19">
        <v>46121</v>
      </c>
      <c r="G189" s="10">
        <v>200</v>
      </c>
      <c r="H189" s="6">
        <f>SUMIF(Analysis_FEFO!$E$5:$E$174, A189, Analysis_FEFO!$G$5:$G$174)</f>
        <v>200</v>
      </c>
      <c r="I189" s="6">
        <f t="shared" si="20"/>
        <v>0</v>
      </c>
      <c r="J189" s="11">
        <v>49000</v>
      </c>
      <c r="K189" s="11">
        <f t="shared" si="16"/>
        <v>9800000</v>
      </c>
      <c r="L189" s="7">
        <f t="shared" si="21"/>
        <v>9800000</v>
      </c>
      <c r="M189" s="48">
        <f t="shared" ca="1" si="17"/>
        <v>-201</v>
      </c>
      <c r="N189" s="6" t="str">
        <f t="shared" ca="1" si="22"/>
        <v>EXPIRED</v>
      </c>
      <c r="O189" s="29">
        <f t="shared" si="18"/>
        <v>0</v>
      </c>
      <c r="P189" s="38">
        <f t="shared" ca="1" si="23"/>
        <v>0</v>
      </c>
      <c r="Q189" s="8" t="str">
        <f t="shared" ca="1" si="19"/>
        <v>EXPIRED</v>
      </c>
      <c r="R189" s="30" t="str" cm="1">
        <f t="array" aca="1" ref="R189" ca="1">_xlfn.IFS(Q189="EXPIRED", "WRITE-OFF", Q189="WARNING", "FlASH SALE ", Q189="CRITICAL", "FEFO PRIORITY", Q189="SAFE", "REGULAR SALES")</f>
        <v>WRITE-OFF</v>
      </c>
    </row>
    <row r="190" spans="1:18" x14ac:dyDescent="0.25">
      <c r="A190" s="4" t="s">
        <v>213</v>
      </c>
      <c r="B190" s="4" t="s">
        <v>4</v>
      </c>
      <c r="C190" s="5" t="s">
        <v>5</v>
      </c>
      <c r="D190" s="23" t="s">
        <v>6</v>
      </c>
      <c r="E190" s="18">
        <v>46071</v>
      </c>
      <c r="F190" s="18">
        <v>46436</v>
      </c>
      <c r="G190" s="6">
        <v>100</v>
      </c>
      <c r="H190" s="6">
        <f>SUMIF(Analysis_FEFO!$E$5:$E$174, A190, Analysis_FEFO!$G$5:$G$174)</f>
        <v>0</v>
      </c>
      <c r="I190" s="6">
        <f t="shared" si="20"/>
        <v>100</v>
      </c>
      <c r="J190" s="7">
        <v>87000</v>
      </c>
      <c r="K190" s="7">
        <f t="shared" si="16"/>
        <v>8700000</v>
      </c>
      <c r="L190" s="7">
        <f t="shared" si="21"/>
        <v>0</v>
      </c>
      <c r="M190" s="48">
        <f t="shared" ca="1" si="17"/>
        <v>114</v>
      </c>
      <c r="N190" s="6" t="str">
        <f t="shared" ca="1" si="22"/>
        <v>SAFE</v>
      </c>
      <c r="O190" s="29">
        <f t="shared" si="18"/>
        <v>8700000</v>
      </c>
      <c r="P190" s="38">
        <f t="shared" ca="1" si="23"/>
        <v>0</v>
      </c>
      <c r="Q190" s="4" t="str">
        <f t="shared" ca="1" si="19"/>
        <v>WARNING</v>
      </c>
      <c r="R190" s="30" t="str" cm="1">
        <f t="array" aca="1" ref="R190" ca="1">_xlfn.IFS(Q190="EXPIRED", "WRITE-OFF", Q190="WARNING", "FlASH SALE ", Q190="CRITICAL", "FEFO PRIORITY", Q190="SAFE", "REGULAR SALES")</f>
        <v xml:space="preserve">FlASH SALE </v>
      </c>
    </row>
    <row r="191" spans="1:18" x14ac:dyDescent="0.25">
      <c r="A191" s="8" t="s">
        <v>214</v>
      </c>
      <c r="B191" s="8" t="s">
        <v>8</v>
      </c>
      <c r="C191" s="9" t="s">
        <v>9</v>
      </c>
      <c r="D191" s="24" t="s">
        <v>10</v>
      </c>
      <c r="E191" s="19">
        <v>45844</v>
      </c>
      <c r="F191" s="19">
        <v>46937</v>
      </c>
      <c r="G191" s="10">
        <v>750</v>
      </c>
      <c r="H191" s="6">
        <f>SUMIF(Analysis_FEFO!$E$5:$E$174, A191, Analysis_FEFO!$G$5:$G$174)</f>
        <v>0</v>
      </c>
      <c r="I191" s="6">
        <f t="shared" si="20"/>
        <v>750</v>
      </c>
      <c r="J191" s="11">
        <v>38000</v>
      </c>
      <c r="K191" s="11">
        <f t="shared" si="16"/>
        <v>28500000</v>
      </c>
      <c r="L191" s="7">
        <f t="shared" si="21"/>
        <v>0</v>
      </c>
      <c r="M191" s="48">
        <f t="shared" ca="1" si="17"/>
        <v>615</v>
      </c>
      <c r="N191" s="6" t="str">
        <f t="shared" ca="1" si="22"/>
        <v>SAFE</v>
      </c>
      <c r="O191" s="29">
        <f t="shared" si="18"/>
        <v>28500000</v>
      </c>
      <c r="P191" s="38">
        <f t="shared" ca="1" si="23"/>
        <v>0</v>
      </c>
      <c r="Q191" s="8" t="str">
        <f t="shared" ca="1" si="19"/>
        <v>SAFE</v>
      </c>
      <c r="R191" s="30" t="str" cm="1">
        <f t="array" aca="1" ref="R191" ca="1">_xlfn.IFS(Q191="EXPIRED", "WRITE-OFF", Q191="WARNING", "FlASH SALE ", Q191="CRITICAL", "FEFO PRIORITY", Q191="SAFE", "REGULAR SALES")</f>
        <v>REGULAR SALES</v>
      </c>
    </row>
    <row r="192" spans="1:18" x14ac:dyDescent="0.25">
      <c r="A192" s="4" t="s">
        <v>215</v>
      </c>
      <c r="B192" s="4" t="s">
        <v>16</v>
      </c>
      <c r="C192" s="5" t="s">
        <v>17</v>
      </c>
      <c r="D192" s="23" t="s">
        <v>6</v>
      </c>
      <c r="E192" s="18">
        <v>45819</v>
      </c>
      <c r="F192" s="18">
        <v>46350</v>
      </c>
      <c r="G192" s="6">
        <v>250</v>
      </c>
      <c r="H192" s="6">
        <f>SUMIF(Analysis_FEFO!$E$5:$E$174, A192, Analysis_FEFO!$G$5:$G$174)</f>
        <v>250</v>
      </c>
      <c r="I192" s="6">
        <f t="shared" si="20"/>
        <v>0</v>
      </c>
      <c r="J192" s="7">
        <v>66000</v>
      </c>
      <c r="K192" s="7">
        <f t="shared" si="16"/>
        <v>16500000</v>
      </c>
      <c r="L192" s="7">
        <f t="shared" si="21"/>
        <v>16500000</v>
      </c>
      <c r="M192" s="48">
        <f t="shared" ca="1" si="17"/>
        <v>28</v>
      </c>
      <c r="N192" s="6" t="str">
        <f t="shared" ca="1" si="22"/>
        <v>EXPIRING SOON (&lt;30 DAYS)</v>
      </c>
      <c r="O192" s="29">
        <f t="shared" si="18"/>
        <v>0</v>
      </c>
      <c r="P192" s="38">
        <f t="shared" ca="1" si="23"/>
        <v>0</v>
      </c>
      <c r="Q192" s="4" t="str">
        <f t="shared" ca="1" si="19"/>
        <v>CRITICAL</v>
      </c>
      <c r="R192" s="30" t="str" cm="1">
        <f t="array" aca="1" ref="R192" ca="1">_xlfn.IFS(Q192="EXPIRED", "WRITE-OFF", Q192="WARNING", "FlASH SALE ", Q192="CRITICAL", "FEFO PRIORITY", Q192="SAFE", "REGULAR SALES")</f>
        <v>FEFO PRIORITY</v>
      </c>
    </row>
    <row r="193" spans="1:18" x14ac:dyDescent="0.25">
      <c r="A193" s="8" t="s">
        <v>216</v>
      </c>
      <c r="B193" s="8" t="s">
        <v>53</v>
      </c>
      <c r="C193" s="9" t="s">
        <v>54</v>
      </c>
      <c r="D193" s="24" t="s">
        <v>35</v>
      </c>
      <c r="E193" s="19">
        <v>46069</v>
      </c>
      <c r="F193" s="19">
        <v>46353</v>
      </c>
      <c r="G193" s="10">
        <v>250</v>
      </c>
      <c r="H193" s="6">
        <f>SUMIF(Analysis_FEFO!$E$5:$E$174, A193, Analysis_FEFO!$G$5:$G$174)</f>
        <v>0</v>
      </c>
      <c r="I193" s="6">
        <f t="shared" si="20"/>
        <v>250</v>
      </c>
      <c r="J193" s="11">
        <v>52000</v>
      </c>
      <c r="K193" s="11">
        <f t="shared" si="16"/>
        <v>13000000</v>
      </c>
      <c r="L193" s="7">
        <f t="shared" si="21"/>
        <v>0</v>
      </c>
      <c r="M193" s="48">
        <f t="shared" ca="1" si="17"/>
        <v>31</v>
      </c>
      <c r="N193" s="6" t="str">
        <f t="shared" ca="1" si="22"/>
        <v>SAFE</v>
      </c>
      <c r="O193" s="29">
        <f t="shared" si="18"/>
        <v>13000000</v>
      </c>
      <c r="P193" s="38">
        <f t="shared" ca="1" si="23"/>
        <v>13000000</v>
      </c>
      <c r="Q193" s="8" t="str">
        <f t="shared" ca="1" si="19"/>
        <v>CRITICAL</v>
      </c>
      <c r="R193" s="30" t="str" cm="1">
        <f t="array" aca="1" ref="R193" ca="1">_xlfn.IFS(Q193="EXPIRED", "WRITE-OFF", Q193="WARNING", "FlASH SALE ", Q193="CRITICAL", "FEFO PRIORITY", Q193="SAFE", "REGULAR SALES")</f>
        <v>FEFO PRIORITY</v>
      </c>
    </row>
    <row r="194" spans="1:18" x14ac:dyDescent="0.25">
      <c r="A194" s="4" t="s">
        <v>217</v>
      </c>
      <c r="B194" s="4" t="s">
        <v>8</v>
      </c>
      <c r="C194" s="5" t="s">
        <v>9</v>
      </c>
      <c r="D194" s="23" t="s">
        <v>10</v>
      </c>
      <c r="E194" s="18">
        <v>46088</v>
      </c>
      <c r="F194" s="18">
        <v>46252</v>
      </c>
      <c r="G194" s="6">
        <v>250</v>
      </c>
      <c r="H194" s="6">
        <f>SUMIF(Analysis_FEFO!$E$5:$E$174, A194, Analysis_FEFO!$G$5:$G$174)</f>
        <v>0</v>
      </c>
      <c r="I194" s="6">
        <f t="shared" si="20"/>
        <v>250</v>
      </c>
      <c r="J194" s="7">
        <v>37000</v>
      </c>
      <c r="K194" s="7">
        <f t="shared" si="16"/>
        <v>9250000</v>
      </c>
      <c r="L194" s="7">
        <f t="shared" si="21"/>
        <v>0</v>
      </c>
      <c r="M194" s="48">
        <f t="shared" ca="1" si="17"/>
        <v>-70</v>
      </c>
      <c r="N194" s="6" t="str">
        <f t="shared" ca="1" si="22"/>
        <v>EXPIRED</v>
      </c>
      <c r="O194" s="29">
        <f t="shared" si="18"/>
        <v>9250000</v>
      </c>
      <c r="P194" s="38">
        <f t="shared" ca="1" si="23"/>
        <v>9250000</v>
      </c>
      <c r="Q194" s="4" t="str">
        <f t="shared" ca="1" si="19"/>
        <v>EXPIRED</v>
      </c>
      <c r="R194" s="30" t="str" cm="1">
        <f t="array" aca="1" ref="R194" ca="1">_xlfn.IFS(Q194="EXPIRED", "WRITE-OFF", Q194="WARNING", "FlASH SALE ", Q194="CRITICAL", "FEFO PRIORITY", Q194="SAFE", "REGULAR SALES")</f>
        <v>WRITE-OFF</v>
      </c>
    </row>
    <row r="195" spans="1:18" x14ac:dyDescent="0.25">
      <c r="A195" s="8" t="s">
        <v>218</v>
      </c>
      <c r="B195" s="8" t="s">
        <v>4</v>
      </c>
      <c r="C195" s="9" t="s">
        <v>5</v>
      </c>
      <c r="D195" s="24" t="s">
        <v>6</v>
      </c>
      <c r="E195" s="19">
        <v>45936</v>
      </c>
      <c r="F195" s="19">
        <v>46483</v>
      </c>
      <c r="G195" s="10">
        <v>100</v>
      </c>
      <c r="H195" s="6">
        <f>SUMIF(Analysis_FEFO!$E$5:$E$174, A195, Analysis_FEFO!$G$5:$G$174)</f>
        <v>100</v>
      </c>
      <c r="I195" s="6">
        <f t="shared" si="20"/>
        <v>0</v>
      </c>
      <c r="J195" s="11">
        <v>88000</v>
      </c>
      <c r="K195" s="11">
        <f t="shared" si="16"/>
        <v>8800000</v>
      </c>
      <c r="L195" s="7">
        <f t="shared" si="21"/>
        <v>8800000</v>
      </c>
      <c r="M195" s="48">
        <f t="shared" ca="1" si="17"/>
        <v>161</v>
      </c>
      <c r="N195" s="6" t="str">
        <f t="shared" ca="1" si="22"/>
        <v>SAFE</v>
      </c>
      <c r="O195" s="29">
        <f t="shared" si="18"/>
        <v>0</v>
      </c>
      <c r="P195" s="38">
        <f t="shared" ca="1" si="23"/>
        <v>0</v>
      </c>
      <c r="Q195" s="8" t="str">
        <f t="shared" ca="1" si="19"/>
        <v>WARNING</v>
      </c>
      <c r="R195" s="30" t="str" cm="1">
        <f t="array" aca="1" ref="R195" ca="1">_xlfn.IFS(Q195="EXPIRED", "WRITE-OFF", Q195="WARNING", "FlASH SALE ", Q195="CRITICAL", "FEFO PRIORITY", Q195="SAFE", "REGULAR SALES")</f>
        <v xml:space="preserve">FlASH SALE </v>
      </c>
    </row>
    <row r="196" spans="1:18" x14ac:dyDescent="0.25">
      <c r="A196" s="4" t="s">
        <v>219</v>
      </c>
      <c r="B196" s="4" t="s">
        <v>45</v>
      </c>
      <c r="C196" s="5" t="s">
        <v>46</v>
      </c>
      <c r="D196" s="23" t="s">
        <v>14</v>
      </c>
      <c r="E196" s="18">
        <v>45848</v>
      </c>
      <c r="F196" s="18">
        <v>46582</v>
      </c>
      <c r="G196" s="6">
        <v>200</v>
      </c>
      <c r="H196" s="6">
        <f>SUMIF(Analysis_FEFO!$E$5:$E$174, A196, Analysis_FEFO!$G$5:$G$174)</f>
        <v>200</v>
      </c>
      <c r="I196" s="6">
        <f t="shared" si="20"/>
        <v>0</v>
      </c>
      <c r="J196" s="7">
        <v>90000</v>
      </c>
      <c r="K196" s="7">
        <f t="shared" si="16"/>
        <v>18000000</v>
      </c>
      <c r="L196" s="7">
        <f t="shared" si="21"/>
        <v>18000000</v>
      </c>
      <c r="M196" s="48">
        <f t="shared" ca="1" si="17"/>
        <v>260</v>
      </c>
      <c r="N196" s="6" t="str">
        <f t="shared" ca="1" si="22"/>
        <v>SAFE</v>
      </c>
      <c r="O196" s="29">
        <f t="shared" si="18"/>
        <v>0</v>
      </c>
      <c r="P196" s="38">
        <f t="shared" ca="1" si="23"/>
        <v>0</v>
      </c>
      <c r="Q196" s="4" t="str">
        <f t="shared" ca="1" si="19"/>
        <v>SAFE</v>
      </c>
      <c r="R196" s="30" t="str" cm="1">
        <f t="array" aca="1" ref="R196" ca="1">_xlfn.IFS(Q196="EXPIRED", "WRITE-OFF", Q196="WARNING", "FlASH SALE ", Q196="CRITICAL", "FEFO PRIORITY", Q196="SAFE", "REGULAR SALES")</f>
        <v>REGULAR SALES</v>
      </c>
    </row>
    <row r="197" spans="1:18" x14ac:dyDescent="0.25">
      <c r="A197" s="8" t="s">
        <v>220</v>
      </c>
      <c r="B197" s="8" t="s">
        <v>12</v>
      </c>
      <c r="C197" s="9" t="s">
        <v>13</v>
      </c>
      <c r="D197" s="24" t="s">
        <v>14</v>
      </c>
      <c r="E197" s="19">
        <v>46043</v>
      </c>
      <c r="F197" s="19">
        <v>46323</v>
      </c>
      <c r="G197" s="10">
        <v>300</v>
      </c>
      <c r="H197" s="6">
        <f>SUMIF(Analysis_FEFO!$E$5:$E$174, A197, Analysis_FEFO!$G$5:$G$174)</f>
        <v>0</v>
      </c>
      <c r="I197" s="6">
        <f t="shared" si="20"/>
        <v>300</v>
      </c>
      <c r="J197" s="11">
        <v>32000</v>
      </c>
      <c r="K197" s="11">
        <f t="shared" si="16"/>
        <v>9600000</v>
      </c>
      <c r="L197" s="7">
        <f t="shared" si="21"/>
        <v>0</v>
      </c>
      <c r="M197" s="48">
        <f t="shared" ca="1" si="17"/>
        <v>1</v>
      </c>
      <c r="N197" s="6" t="str">
        <f t="shared" ca="1" si="22"/>
        <v>EXPIRING SOON (&lt;30 DAYS)</v>
      </c>
      <c r="O197" s="29">
        <f t="shared" si="18"/>
        <v>9600000</v>
      </c>
      <c r="P197" s="38">
        <f t="shared" ca="1" si="23"/>
        <v>9600000</v>
      </c>
      <c r="Q197" s="8" t="str">
        <f t="shared" ca="1" si="19"/>
        <v>CRITICAL</v>
      </c>
      <c r="R197" s="30" t="str" cm="1">
        <f t="array" aca="1" ref="R197" ca="1">_xlfn.IFS(Q197="EXPIRED", "WRITE-OFF", Q197="WARNING", "FlASH SALE ", Q197="CRITICAL", "FEFO PRIORITY", Q197="SAFE", "REGULAR SALES")</f>
        <v>FEFO PRIORITY</v>
      </c>
    </row>
    <row r="198" spans="1:18" x14ac:dyDescent="0.25">
      <c r="A198" s="4" t="s">
        <v>221</v>
      </c>
      <c r="B198" s="4" t="s">
        <v>25</v>
      </c>
      <c r="C198" s="5" t="s">
        <v>26</v>
      </c>
      <c r="D198" s="23" t="s">
        <v>27</v>
      </c>
      <c r="E198" s="18">
        <v>46023</v>
      </c>
      <c r="F198" s="18">
        <v>46373</v>
      </c>
      <c r="G198" s="6">
        <v>750</v>
      </c>
      <c r="H198" s="6">
        <f>SUMIF(Analysis_FEFO!$E$5:$E$174, A198, Analysis_FEFO!$G$5:$G$174)</f>
        <v>0</v>
      </c>
      <c r="I198" s="6">
        <f t="shared" si="20"/>
        <v>750</v>
      </c>
      <c r="J198" s="7">
        <v>59000</v>
      </c>
      <c r="K198" s="7">
        <f t="shared" ref="K198:K261" si="24">G198*J198</f>
        <v>44250000</v>
      </c>
      <c r="L198" s="7">
        <f t="shared" si="21"/>
        <v>0</v>
      </c>
      <c r="M198" s="48">
        <f t="shared" ref="M198:M261" ca="1" si="25">F198-TODAY()</f>
        <v>51</v>
      </c>
      <c r="N198" s="6" t="str">
        <f t="shared" ca="1" si="22"/>
        <v>SAFE</v>
      </c>
      <c r="O198" s="29">
        <f t="shared" ref="O198:O261" si="26">I198*J198</f>
        <v>44250000</v>
      </c>
      <c r="P198" s="38">
        <f t="shared" ca="1" si="23"/>
        <v>44250000</v>
      </c>
      <c r="Q198" s="4" t="str">
        <f t="shared" ref="Q198:Q261" ca="1" si="27">IF(M198&lt;0, "EXPIRED", IF(M198&lt;=60, "CRITICAL", IF(M198&lt;=180, "WARNING", "SAFE")))</f>
        <v>CRITICAL</v>
      </c>
      <c r="R198" s="30" t="str" cm="1">
        <f t="array" aca="1" ref="R198" ca="1">_xlfn.IFS(Q198="EXPIRED", "WRITE-OFF", Q198="WARNING", "FlASH SALE ", Q198="CRITICAL", "FEFO PRIORITY", Q198="SAFE", "REGULAR SALES")</f>
        <v>FEFO PRIORITY</v>
      </c>
    </row>
    <row r="199" spans="1:18" x14ac:dyDescent="0.25">
      <c r="A199" s="8" t="s">
        <v>222</v>
      </c>
      <c r="B199" s="8" t="s">
        <v>33</v>
      </c>
      <c r="C199" s="9" t="s">
        <v>34</v>
      </c>
      <c r="D199" s="24" t="s">
        <v>35</v>
      </c>
      <c r="E199" s="19">
        <v>45849</v>
      </c>
      <c r="F199" s="19">
        <v>46395</v>
      </c>
      <c r="G199" s="10">
        <v>250</v>
      </c>
      <c r="H199" s="6">
        <f>SUMIF(Analysis_FEFO!$E$5:$E$174, A199, Analysis_FEFO!$G$5:$G$174)</f>
        <v>250</v>
      </c>
      <c r="I199" s="6">
        <f t="shared" ref="I199:I262" si="28">G199-H199</f>
        <v>0</v>
      </c>
      <c r="J199" s="11">
        <v>57000</v>
      </c>
      <c r="K199" s="11">
        <f t="shared" si="24"/>
        <v>14250000</v>
      </c>
      <c r="L199" s="7">
        <f t="shared" ref="L199:L262" si="29">H199*J199</f>
        <v>14250000</v>
      </c>
      <c r="M199" s="48">
        <f t="shared" ca="1" si="25"/>
        <v>73</v>
      </c>
      <c r="N199" s="6" t="str">
        <f t="shared" ref="N199:N262" ca="1" si="30">IF(M199&lt;=0, "EXPIRED", IF(M199&lt;=30, "EXPIRING SOON (&lt;30 DAYS)", "SAFE"))</f>
        <v>SAFE</v>
      </c>
      <c r="O199" s="29">
        <f t="shared" si="26"/>
        <v>0</v>
      </c>
      <c r="P199" s="38">
        <f t="shared" ref="P199:P262" ca="1" si="31">IF(OR(Q199="CRITICAL", Q199="EXPIRED"), O199, 0)</f>
        <v>0</v>
      </c>
      <c r="Q199" s="8" t="str">
        <f t="shared" ca="1" si="27"/>
        <v>WARNING</v>
      </c>
      <c r="R199" s="30" t="str" cm="1">
        <f t="array" aca="1" ref="R199" ca="1">_xlfn.IFS(Q199="EXPIRED", "WRITE-OFF", Q199="WARNING", "FlASH SALE ", Q199="CRITICAL", "FEFO PRIORITY", Q199="SAFE", "REGULAR SALES")</f>
        <v xml:space="preserve">FlASH SALE </v>
      </c>
    </row>
    <row r="200" spans="1:18" x14ac:dyDescent="0.25">
      <c r="A200" s="4" t="s">
        <v>223</v>
      </c>
      <c r="B200" s="4" t="s">
        <v>33</v>
      </c>
      <c r="C200" s="5" t="s">
        <v>34</v>
      </c>
      <c r="D200" s="23" t="s">
        <v>35</v>
      </c>
      <c r="E200" s="18">
        <v>45884</v>
      </c>
      <c r="F200" s="18">
        <v>46423</v>
      </c>
      <c r="G200" s="6">
        <v>200</v>
      </c>
      <c r="H200" s="6">
        <f>SUMIF(Analysis_FEFO!$E$5:$E$174, A200, Analysis_FEFO!$G$5:$G$174)</f>
        <v>200</v>
      </c>
      <c r="I200" s="6">
        <f t="shared" si="28"/>
        <v>0</v>
      </c>
      <c r="J200" s="7">
        <v>62000</v>
      </c>
      <c r="K200" s="7">
        <f t="shared" si="24"/>
        <v>12400000</v>
      </c>
      <c r="L200" s="7">
        <f t="shared" si="29"/>
        <v>12400000</v>
      </c>
      <c r="M200" s="48">
        <f t="shared" ca="1" si="25"/>
        <v>101</v>
      </c>
      <c r="N200" s="6" t="str">
        <f t="shared" ca="1" si="30"/>
        <v>SAFE</v>
      </c>
      <c r="O200" s="29">
        <f t="shared" si="26"/>
        <v>0</v>
      </c>
      <c r="P200" s="38">
        <f t="shared" ca="1" si="31"/>
        <v>0</v>
      </c>
      <c r="Q200" s="4" t="str">
        <f t="shared" ca="1" si="27"/>
        <v>WARNING</v>
      </c>
      <c r="R200" s="30" t="str" cm="1">
        <f t="array" aca="1" ref="R200" ca="1">_xlfn.IFS(Q200="EXPIRED", "WRITE-OFF", Q200="WARNING", "FlASH SALE ", Q200="CRITICAL", "FEFO PRIORITY", Q200="SAFE", "REGULAR SALES")</f>
        <v xml:space="preserve">FlASH SALE </v>
      </c>
    </row>
    <row r="201" spans="1:18" x14ac:dyDescent="0.25">
      <c r="A201" s="8" t="s">
        <v>224</v>
      </c>
      <c r="B201" s="8" t="s">
        <v>45</v>
      </c>
      <c r="C201" s="9" t="s">
        <v>46</v>
      </c>
      <c r="D201" s="24" t="s">
        <v>14</v>
      </c>
      <c r="E201" s="19">
        <v>46095</v>
      </c>
      <c r="F201" s="19">
        <v>46627</v>
      </c>
      <c r="G201" s="10">
        <v>200</v>
      </c>
      <c r="H201" s="6">
        <f>SUMIF(Analysis_FEFO!$E$5:$E$174, A201, Analysis_FEFO!$G$5:$G$174)</f>
        <v>0</v>
      </c>
      <c r="I201" s="6">
        <f t="shared" si="28"/>
        <v>200</v>
      </c>
      <c r="J201" s="11">
        <v>97000</v>
      </c>
      <c r="K201" s="11">
        <f t="shared" si="24"/>
        <v>19400000</v>
      </c>
      <c r="L201" s="7">
        <f t="shared" si="29"/>
        <v>0</v>
      </c>
      <c r="M201" s="48">
        <f t="shared" ca="1" si="25"/>
        <v>305</v>
      </c>
      <c r="N201" s="6" t="str">
        <f t="shared" ca="1" si="30"/>
        <v>SAFE</v>
      </c>
      <c r="O201" s="29">
        <f t="shared" si="26"/>
        <v>19400000</v>
      </c>
      <c r="P201" s="38">
        <f t="shared" ca="1" si="31"/>
        <v>0</v>
      </c>
      <c r="Q201" s="8" t="str">
        <f t="shared" ca="1" si="27"/>
        <v>SAFE</v>
      </c>
      <c r="R201" s="30" t="str" cm="1">
        <f t="array" aca="1" ref="R201" ca="1">_xlfn.IFS(Q201="EXPIRED", "WRITE-OFF", Q201="WARNING", "FlASH SALE ", Q201="CRITICAL", "FEFO PRIORITY", Q201="SAFE", "REGULAR SALES")</f>
        <v>REGULAR SALES</v>
      </c>
    </row>
    <row r="202" spans="1:18" x14ac:dyDescent="0.25">
      <c r="A202" s="4" t="s">
        <v>225</v>
      </c>
      <c r="B202" s="4" t="s">
        <v>45</v>
      </c>
      <c r="C202" s="5" t="s">
        <v>46</v>
      </c>
      <c r="D202" s="23" t="s">
        <v>14</v>
      </c>
      <c r="E202" s="18">
        <v>45981</v>
      </c>
      <c r="F202" s="18">
        <v>46526</v>
      </c>
      <c r="G202" s="6">
        <v>250</v>
      </c>
      <c r="H202" s="6">
        <f>SUMIF(Analysis_FEFO!$E$5:$E$174, A202, Analysis_FEFO!$G$5:$G$174)</f>
        <v>0</v>
      </c>
      <c r="I202" s="6">
        <f t="shared" si="28"/>
        <v>250</v>
      </c>
      <c r="J202" s="7">
        <v>94000</v>
      </c>
      <c r="K202" s="7">
        <f t="shared" si="24"/>
        <v>23500000</v>
      </c>
      <c r="L202" s="7">
        <f t="shared" si="29"/>
        <v>0</v>
      </c>
      <c r="M202" s="48">
        <f t="shared" ca="1" si="25"/>
        <v>204</v>
      </c>
      <c r="N202" s="6" t="str">
        <f t="shared" ca="1" si="30"/>
        <v>SAFE</v>
      </c>
      <c r="O202" s="29">
        <f t="shared" si="26"/>
        <v>23500000</v>
      </c>
      <c r="P202" s="38">
        <f t="shared" ca="1" si="31"/>
        <v>0</v>
      </c>
      <c r="Q202" s="4" t="str">
        <f t="shared" ca="1" si="27"/>
        <v>SAFE</v>
      </c>
      <c r="R202" s="30" t="str" cm="1">
        <f t="array" aca="1" ref="R202" ca="1">_xlfn.IFS(Q202="EXPIRED", "WRITE-OFF", Q202="WARNING", "FlASH SALE ", Q202="CRITICAL", "FEFO PRIORITY", Q202="SAFE", "REGULAR SALES")</f>
        <v>REGULAR SALES</v>
      </c>
    </row>
    <row r="203" spans="1:18" x14ac:dyDescent="0.25">
      <c r="A203" s="8" t="s">
        <v>226</v>
      </c>
      <c r="B203" s="8" t="s">
        <v>25</v>
      </c>
      <c r="C203" s="9" t="s">
        <v>26</v>
      </c>
      <c r="D203" s="24" t="s">
        <v>27</v>
      </c>
      <c r="E203" s="19">
        <v>46001</v>
      </c>
      <c r="F203" s="19">
        <v>46504</v>
      </c>
      <c r="G203" s="10">
        <v>500</v>
      </c>
      <c r="H203" s="6">
        <f>SUMIF(Analysis_FEFO!$E$5:$E$174, A203, Analysis_FEFO!$G$5:$G$174)</f>
        <v>500</v>
      </c>
      <c r="I203" s="6">
        <f t="shared" si="28"/>
        <v>0</v>
      </c>
      <c r="J203" s="11">
        <v>59000</v>
      </c>
      <c r="K203" s="11">
        <f t="shared" si="24"/>
        <v>29500000</v>
      </c>
      <c r="L203" s="7">
        <f t="shared" si="29"/>
        <v>29500000</v>
      </c>
      <c r="M203" s="48">
        <f t="shared" ca="1" si="25"/>
        <v>182</v>
      </c>
      <c r="N203" s="6" t="str">
        <f t="shared" ca="1" si="30"/>
        <v>SAFE</v>
      </c>
      <c r="O203" s="29">
        <f t="shared" si="26"/>
        <v>0</v>
      </c>
      <c r="P203" s="38">
        <f t="shared" ca="1" si="31"/>
        <v>0</v>
      </c>
      <c r="Q203" s="8" t="str">
        <f t="shared" ca="1" si="27"/>
        <v>SAFE</v>
      </c>
      <c r="R203" s="30" t="str" cm="1">
        <f t="array" aca="1" ref="R203" ca="1">_xlfn.IFS(Q203="EXPIRED", "WRITE-OFF", Q203="WARNING", "FlASH SALE ", Q203="CRITICAL", "FEFO PRIORITY", Q203="SAFE", "REGULAR SALES")</f>
        <v>REGULAR SALES</v>
      </c>
    </row>
    <row r="204" spans="1:18" x14ac:dyDescent="0.25">
      <c r="A204" s="4" t="s">
        <v>227</v>
      </c>
      <c r="B204" s="4" t="s">
        <v>29</v>
      </c>
      <c r="C204" s="5" t="s">
        <v>30</v>
      </c>
      <c r="D204" s="23" t="s">
        <v>10</v>
      </c>
      <c r="E204" s="18">
        <v>45819</v>
      </c>
      <c r="F204" s="18">
        <v>46455</v>
      </c>
      <c r="G204" s="6">
        <v>500</v>
      </c>
      <c r="H204" s="6">
        <f>SUMIF(Analysis_FEFO!$E$5:$E$174, A204, Analysis_FEFO!$G$5:$G$174)</f>
        <v>500</v>
      </c>
      <c r="I204" s="6">
        <f t="shared" si="28"/>
        <v>0</v>
      </c>
      <c r="J204" s="7">
        <v>27000</v>
      </c>
      <c r="K204" s="7">
        <f t="shared" si="24"/>
        <v>13500000</v>
      </c>
      <c r="L204" s="7">
        <f t="shared" si="29"/>
        <v>13500000</v>
      </c>
      <c r="M204" s="48">
        <f t="shared" ca="1" si="25"/>
        <v>133</v>
      </c>
      <c r="N204" s="6" t="str">
        <f t="shared" ca="1" si="30"/>
        <v>SAFE</v>
      </c>
      <c r="O204" s="29">
        <f t="shared" si="26"/>
        <v>0</v>
      </c>
      <c r="P204" s="38">
        <f t="shared" ca="1" si="31"/>
        <v>0</v>
      </c>
      <c r="Q204" s="4" t="str">
        <f t="shared" ca="1" si="27"/>
        <v>WARNING</v>
      </c>
      <c r="R204" s="30" t="str" cm="1">
        <f t="array" aca="1" ref="R204" ca="1">_xlfn.IFS(Q204="EXPIRED", "WRITE-OFF", Q204="WARNING", "FlASH SALE ", Q204="CRITICAL", "FEFO PRIORITY", Q204="SAFE", "REGULAR SALES")</f>
        <v xml:space="preserve">FlASH SALE </v>
      </c>
    </row>
    <row r="205" spans="1:18" x14ac:dyDescent="0.25">
      <c r="A205" s="8" t="s">
        <v>228</v>
      </c>
      <c r="B205" s="8" t="s">
        <v>12</v>
      </c>
      <c r="C205" s="9" t="s">
        <v>13</v>
      </c>
      <c r="D205" s="24" t="s">
        <v>14</v>
      </c>
      <c r="E205" s="19">
        <v>45906</v>
      </c>
      <c r="F205" s="19">
        <v>46915</v>
      </c>
      <c r="G205" s="10">
        <v>750</v>
      </c>
      <c r="H205" s="6">
        <f>SUMIF(Analysis_FEFO!$E$5:$E$174, A205, Analysis_FEFO!$G$5:$G$174)</f>
        <v>750</v>
      </c>
      <c r="I205" s="6">
        <f t="shared" si="28"/>
        <v>0</v>
      </c>
      <c r="J205" s="11">
        <v>32000</v>
      </c>
      <c r="K205" s="11">
        <f t="shared" si="24"/>
        <v>24000000</v>
      </c>
      <c r="L205" s="7">
        <f t="shared" si="29"/>
        <v>24000000</v>
      </c>
      <c r="M205" s="48">
        <f t="shared" ca="1" si="25"/>
        <v>593</v>
      </c>
      <c r="N205" s="6" t="str">
        <f t="shared" ca="1" si="30"/>
        <v>SAFE</v>
      </c>
      <c r="O205" s="29">
        <f t="shared" si="26"/>
        <v>0</v>
      </c>
      <c r="P205" s="38">
        <f t="shared" ca="1" si="31"/>
        <v>0</v>
      </c>
      <c r="Q205" s="8" t="str">
        <f t="shared" ca="1" si="27"/>
        <v>SAFE</v>
      </c>
      <c r="R205" s="30" t="str" cm="1">
        <f t="array" aca="1" ref="R205" ca="1">_xlfn.IFS(Q205="EXPIRED", "WRITE-OFF", Q205="WARNING", "FlASH SALE ", Q205="CRITICAL", "FEFO PRIORITY", Q205="SAFE", "REGULAR SALES")</f>
        <v>REGULAR SALES</v>
      </c>
    </row>
    <row r="206" spans="1:18" x14ac:dyDescent="0.25">
      <c r="A206" s="4" t="s">
        <v>229</v>
      </c>
      <c r="B206" s="4" t="s">
        <v>29</v>
      </c>
      <c r="C206" s="5" t="s">
        <v>30</v>
      </c>
      <c r="D206" s="23" t="s">
        <v>10</v>
      </c>
      <c r="E206" s="18">
        <v>46097</v>
      </c>
      <c r="F206" s="18">
        <v>46641</v>
      </c>
      <c r="G206" s="6">
        <v>200</v>
      </c>
      <c r="H206" s="6">
        <f>SUMIF(Analysis_FEFO!$E$5:$E$174, A206, Analysis_FEFO!$G$5:$G$174)</f>
        <v>0</v>
      </c>
      <c r="I206" s="6">
        <f t="shared" si="28"/>
        <v>200</v>
      </c>
      <c r="J206" s="7">
        <v>27000</v>
      </c>
      <c r="K206" s="7">
        <f t="shared" si="24"/>
        <v>5400000</v>
      </c>
      <c r="L206" s="7">
        <f t="shared" si="29"/>
        <v>0</v>
      </c>
      <c r="M206" s="48">
        <f t="shared" ca="1" si="25"/>
        <v>319</v>
      </c>
      <c r="N206" s="6" t="str">
        <f t="shared" ca="1" si="30"/>
        <v>SAFE</v>
      </c>
      <c r="O206" s="29">
        <f t="shared" si="26"/>
        <v>5400000</v>
      </c>
      <c r="P206" s="38">
        <f t="shared" ca="1" si="31"/>
        <v>0</v>
      </c>
      <c r="Q206" s="4" t="str">
        <f t="shared" ca="1" si="27"/>
        <v>SAFE</v>
      </c>
      <c r="R206" s="30" t="str" cm="1">
        <f t="array" aca="1" ref="R206" ca="1">_xlfn.IFS(Q206="EXPIRED", "WRITE-OFF", Q206="WARNING", "FlASH SALE ", Q206="CRITICAL", "FEFO PRIORITY", Q206="SAFE", "REGULAR SALES")</f>
        <v>REGULAR SALES</v>
      </c>
    </row>
    <row r="207" spans="1:18" x14ac:dyDescent="0.25">
      <c r="A207" s="8" t="s">
        <v>230</v>
      </c>
      <c r="B207" s="8" t="s">
        <v>53</v>
      </c>
      <c r="C207" s="9" t="s">
        <v>54</v>
      </c>
      <c r="D207" s="24" t="s">
        <v>35</v>
      </c>
      <c r="E207" s="19">
        <v>46009</v>
      </c>
      <c r="F207" s="19">
        <v>46554</v>
      </c>
      <c r="G207" s="10">
        <v>250</v>
      </c>
      <c r="H207" s="6">
        <f>SUMIF(Analysis_FEFO!$E$5:$E$174, A207, Analysis_FEFO!$G$5:$G$174)</f>
        <v>0</v>
      </c>
      <c r="I207" s="6">
        <f t="shared" si="28"/>
        <v>250</v>
      </c>
      <c r="J207" s="11">
        <v>55000</v>
      </c>
      <c r="K207" s="11">
        <f t="shared" si="24"/>
        <v>13750000</v>
      </c>
      <c r="L207" s="7">
        <f t="shared" si="29"/>
        <v>0</v>
      </c>
      <c r="M207" s="48">
        <f t="shared" ca="1" si="25"/>
        <v>232</v>
      </c>
      <c r="N207" s="6" t="str">
        <f t="shared" ca="1" si="30"/>
        <v>SAFE</v>
      </c>
      <c r="O207" s="29">
        <f t="shared" si="26"/>
        <v>13750000</v>
      </c>
      <c r="P207" s="38">
        <f t="shared" ca="1" si="31"/>
        <v>0</v>
      </c>
      <c r="Q207" s="8" t="str">
        <f t="shared" ca="1" si="27"/>
        <v>SAFE</v>
      </c>
      <c r="R207" s="30" t="str" cm="1">
        <f t="array" aca="1" ref="R207" ca="1">_xlfn.IFS(Q207="EXPIRED", "WRITE-OFF", Q207="WARNING", "FlASH SALE ", Q207="CRITICAL", "FEFO PRIORITY", Q207="SAFE", "REGULAR SALES")</f>
        <v>REGULAR SALES</v>
      </c>
    </row>
    <row r="208" spans="1:18" x14ac:dyDescent="0.25">
      <c r="A208" s="4" t="s">
        <v>231</v>
      </c>
      <c r="B208" s="4" t="s">
        <v>19</v>
      </c>
      <c r="C208" s="5" t="s">
        <v>20</v>
      </c>
      <c r="D208" s="23" t="s">
        <v>21</v>
      </c>
      <c r="E208" s="18">
        <v>45937</v>
      </c>
      <c r="F208" s="18">
        <v>46933</v>
      </c>
      <c r="G208" s="6">
        <v>300</v>
      </c>
      <c r="H208" s="6">
        <f>SUMIF(Analysis_FEFO!$E$5:$E$174, A208, Analysis_FEFO!$G$5:$G$174)</f>
        <v>0</v>
      </c>
      <c r="I208" s="6">
        <f t="shared" si="28"/>
        <v>300</v>
      </c>
      <c r="J208" s="7">
        <v>45000</v>
      </c>
      <c r="K208" s="7">
        <f t="shared" si="24"/>
        <v>13500000</v>
      </c>
      <c r="L208" s="7">
        <f t="shared" si="29"/>
        <v>0</v>
      </c>
      <c r="M208" s="48">
        <f t="shared" ca="1" si="25"/>
        <v>611</v>
      </c>
      <c r="N208" s="6" t="str">
        <f t="shared" ca="1" si="30"/>
        <v>SAFE</v>
      </c>
      <c r="O208" s="29">
        <f t="shared" si="26"/>
        <v>13500000</v>
      </c>
      <c r="P208" s="38">
        <f t="shared" ca="1" si="31"/>
        <v>0</v>
      </c>
      <c r="Q208" s="4" t="str">
        <f t="shared" ca="1" si="27"/>
        <v>SAFE</v>
      </c>
      <c r="R208" s="30" t="str" cm="1">
        <f t="array" aca="1" ref="R208" ca="1">_xlfn.IFS(Q208="EXPIRED", "WRITE-OFF", Q208="WARNING", "FlASH SALE ", Q208="CRITICAL", "FEFO PRIORITY", Q208="SAFE", "REGULAR SALES")</f>
        <v>REGULAR SALES</v>
      </c>
    </row>
    <row r="209" spans="1:18" x14ac:dyDescent="0.25">
      <c r="A209" s="8" t="s">
        <v>232</v>
      </c>
      <c r="B209" s="8" t="s">
        <v>4</v>
      </c>
      <c r="C209" s="9" t="s">
        <v>5</v>
      </c>
      <c r="D209" s="24" t="s">
        <v>6</v>
      </c>
      <c r="E209" s="19">
        <v>46099</v>
      </c>
      <c r="F209" s="19">
        <v>46628</v>
      </c>
      <c r="G209" s="10">
        <v>100</v>
      </c>
      <c r="H209" s="6">
        <f>SUMIF(Analysis_FEFO!$E$5:$E$174, A209, Analysis_FEFO!$G$5:$G$174)</f>
        <v>0</v>
      </c>
      <c r="I209" s="6">
        <f t="shared" si="28"/>
        <v>100</v>
      </c>
      <c r="J209" s="11">
        <v>77000</v>
      </c>
      <c r="K209" s="11">
        <f t="shared" si="24"/>
        <v>7700000</v>
      </c>
      <c r="L209" s="7">
        <f t="shared" si="29"/>
        <v>0</v>
      </c>
      <c r="M209" s="48">
        <f t="shared" ca="1" si="25"/>
        <v>306</v>
      </c>
      <c r="N209" s="6" t="str">
        <f t="shared" ca="1" si="30"/>
        <v>SAFE</v>
      </c>
      <c r="O209" s="29">
        <f t="shared" si="26"/>
        <v>7700000</v>
      </c>
      <c r="P209" s="38">
        <f t="shared" ca="1" si="31"/>
        <v>0</v>
      </c>
      <c r="Q209" s="8" t="str">
        <f t="shared" ca="1" si="27"/>
        <v>SAFE</v>
      </c>
      <c r="R209" s="30" t="str" cm="1">
        <f t="array" aca="1" ref="R209" ca="1">_xlfn.IFS(Q209="EXPIRED", "WRITE-OFF", Q209="WARNING", "FlASH SALE ", Q209="CRITICAL", "FEFO PRIORITY", Q209="SAFE", "REGULAR SALES")</f>
        <v>REGULAR SALES</v>
      </c>
    </row>
    <row r="210" spans="1:18" x14ac:dyDescent="0.25">
      <c r="A210" s="4" t="s">
        <v>233</v>
      </c>
      <c r="B210" s="4" t="s">
        <v>12</v>
      </c>
      <c r="C210" s="5" t="s">
        <v>13</v>
      </c>
      <c r="D210" s="23" t="s">
        <v>14</v>
      </c>
      <c r="E210" s="18">
        <v>45820</v>
      </c>
      <c r="F210" s="18">
        <v>46451</v>
      </c>
      <c r="G210" s="6">
        <v>500</v>
      </c>
      <c r="H210" s="6">
        <f>SUMIF(Analysis_FEFO!$E$5:$E$174, A210, Analysis_FEFO!$G$5:$G$174)</f>
        <v>500</v>
      </c>
      <c r="I210" s="6">
        <f t="shared" si="28"/>
        <v>0</v>
      </c>
      <c r="J210" s="7">
        <v>28000</v>
      </c>
      <c r="K210" s="7">
        <f t="shared" si="24"/>
        <v>14000000</v>
      </c>
      <c r="L210" s="7">
        <f t="shared" si="29"/>
        <v>14000000</v>
      </c>
      <c r="M210" s="48">
        <f t="shared" ca="1" si="25"/>
        <v>129</v>
      </c>
      <c r="N210" s="6" t="str">
        <f t="shared" ca="1" si="30"/>
        <v>SAFE</v>
      </c>
      <c r="O210" s="29">
        <f t="shared" si="26"/>
        <v>0</v>
      </c>
      <c r="P210" s="38">
        <f t="shared" ca="1" si="31"/>
        <v>0</v>
      </c>
      <c r="Q210" s="4" t="str">
        <f t="shared" ca="1" si="27"/>
        <v>WARNING</v>
      </c>
      <c r="R210" s="30" t="str" cm="1">
        <f t="array" aca="1" ref="R210" ca="1">_xlfn.IFS(Q210="EXPIRED", "WRITE-OFF", Q210="WARNING", "FlASH SALE ", Q210="CRITICAL", "FEFO PRIORITY", Q210="SAFE", "REGULAR SALES")</f>
        <v xml:space="preserve">FlASH SALE </v>
      </c>
    </row>
    <row r="211" spans="1:18" x14ac:dyDescent="0.25">
      <c r="A211" s="8" t="s">
        <v>234</v>
      </c>
      <c r="B211" s="8" t="s">
        <v>19</v>
      </c>
      <c r="C211" s="9" t="s">
        <v>20</v>
      </c>
      <c r="D211" s="24" t="s">
        <v>21</v>
      </c>
      <c r="E211" s="19">
        <v>45865</v>
      </c>
      <c r="F211" s="19">
        <v>46865</v>
      </c>
      <c r="G211" s="10">
        <v>100</v>
      </c>
      <c r="H211" s="6">
        <f>SUMIF(Analysis_FEFO!$E$5:$E$174, A211, Analysis_FEFO!$G$5:$G$174)</f>
        <v>0</v>
      </c>
      <c r="I211" s="6">
        <f t="shared" si="28"/>
        <v>100</v>
      </c>
      <c r="J211" s="11">
        <v>52000</v>
      </c>
      <c r="K211" s="11">
        <f t="shared" si="24"/>
        <v>5200000</v>
      </c>
      <c r="L211" s="7">
        <f t="shared" si="29"/>
        <v>0</v>
      </c>
      <c r="M211" s="48">
        <f t="shared" ca="1" si="25"/>
        <v>543</v>
      </c>
      <c r="N211" s="6" t="str">
        <f t="shared" ca="1" si="30"/>
        <v>SAFE</v>
      </c>
      <c r="O211" s="29">
        <f t="shared" si="26"/>
        <v>5200000</v>
      </c>
      <c r="P211" s="38">
        <f t="shared" ca="1" si="31"/>
        <v>0</v>
      </c>
      <c r="Q211" s="8" t="str">
        <f t="shared" ca="1" si="27"/>
        <v>SAFE</v>
      </c>
      <c r="R211" s="30" t="str" cm="1">
        <f t="array" aca="1" ref="R211" ca="1">_xlfn.IFS(Q211="EXPIRED", "WRITE-OFF", Q211="WARNING", "FlASH SALE ", Q211="CRITICAL", "FEFO PRIORITY", Q211="SAFE", "REGULAR SALES")</f>
        <v>REGULAR SALES</v>
      </c>
    </row>
    <row r="212" spans="1:18" x14ac:dyDescent="0.25">
      <c r="A212" s="4" t="s">
        <v>235</v>
      </c>
      <c r="B212" s="4" t="s">
        <v>29</v>
      </c>
      <c r="C212" s="5" t="s">
        <v>30</v>
      </c>
      <c r="D212" s="23" t="s">
        <v>10</v>
      </c>
      <c r="E212" s="18">
        <v>46072</v>
      </c>
      <c r="F212" s="18">
        <v>46433</v>
      </c>
      <c r="G212" s="6">
        <v>300</v>
      </c>
      <c r="H212" s="6">
        <f>SUMIF(Analysis_FEFO!$E$5:$E$174, A212, Analysis_FEFO!$G$5:$G$174)</f>
        <v>0</v>
      </c>
      <c r="I212" s="6">
        <f t="shared" si="28"/>
        <v>300</v>
      </c>
      <c r="J212" s="7">
        <v>30000</v>
      </c>
      <c r="K212" s="7">
        <f t="shared" si="24"/>
        <v>9000000</v>
      </c>
      <c r="L212" s="7">
        <f t="shared" si="29"/>
        <v>0</v>
      </c>
      <c r="M212" s="48">
        <f t="shared" ca="1" si="25"/>
        <v>111</v>
      </c>
      <c r="N212" s="6" t="str">
        <f t="shared" ca="1" si="30"/>
        <v>SAFE</v>
      </c>
      <c r="O212" s="29">
        <f t="shared" si="26"/>
        <v>9000000</v>
      </c>
      <c r="P212" s="38">
        <f t="shared" ca="1" si="31"/>
        <v>0</v>
      </c>
      <c r="Q212" s="4" t="str">
        <f t="shared" ca="1" si="27"/>
        <v>WARNING</v>
      </c>
      <c r="R212" s="30" t="str" cm="1">
        <f t="array" aca="1" ref="R212" ca="1">_xlfn.IFS(Q212="EXPIRED", "WRITE-OFF", Q212="WARNING", "FlASH SALE ", Q212="CRITICAL", "FEFO PRIORITY", Q212="SAFE", "REGULAR SALES")</f>
        <v xml:space="preserve">FlASH SALE </v>
      </c>
    </row>
    <row r="213" spans="1:18" x14ac:dyDescent="0.25">
      <c r="A213" s="8" t="s">
        <v>236</v>
      </c>
      <c r="B213" s="8" t="s">
        <v>12</v>
      </c>
      <c r="C213" s="9" t="s">
        <v>13</v>
      </c>
      <c r="D213" s="24" t="s">
        <v>14</v>
      </c>
      <c r="E213" s="19">
        <v>46008</v>
      </c>
      <c r="F213" s="19">
        <v>46562</v>
      </c>
      <c r="G213" s="10">
        <v>300</v>
      </c>
      <c r="H213" s="6">
        <f>SUMIF(Analysis_FEFO!$E$5:$E$174, A213, Analysis_FEFO!$G$5:$G$174)</f>
        <v>300</v>
      </c>
      <c r="I213" s="6">
        <f t="shared" si="28"/>
        <v>0</v>
      </c>
      <c r="J213" s="11">
        <v>30000</v>
      </c>
      <c r="K213" s="11">
        <f t="shared" si="24"/>
        <v>9000000</v>
      </c>
      <c r="L213" s="7">
        <f t="shared" si="29"/>
        <v>9000000</v>
      </c>
      <c r="M213" s="48">
        <f t="shared" ca="1" si="25"/>
        <v>240</v>
      </c>
      <c r="N213" s="6" t="str">
        <f t="shared" ca="1" si="30"/>
        <v>SAFE</v>
      </c>
      <c r="O213" s="29">
        <f t="shared" si="26"/>
        <v>0</v>
      </c>
      <c r="P213" s="38">
        <f t="shared" ca="1" si="31"/>
        <v>0</v>
      </c>
      <c r="Q213" s="8" t="str">
        <f t="shared" ca="1" si="27"/>
        <v>SAFE</v>
      </c>
      <c r="R213" s="30" t="str" cm="1">
        <f t="array" aca="1" ref="R213" ca="1">_xlfn.IFS(Q213="EXPIRED", "WRITE-OFF", Q213="WARNING", "FlASH SALE ", Q213="CRITICAL", "FEFO PRIORITY", Q213="SAFE", "REGULAR SALES")</f>
        <v>REGULAR SALES</v>
      </c>
    </row>
    <row r="214" spans="1:18" x14ac:dyDescent="0.25">
      <c r="A214" s="4" t="s">
        <v>237</v>
      </c>
      <c r="B214" s="4" t="s">
        <v>33</v>
      </c>
      <c r="C214" s="5" t="s">
        <v>34</v>
      </c>
      <c r="D214" s="23" t="s">
        <v>35</v>
      </c>
      <c r="E214" s="18">
        <v>45834</v>
      </c>
      <c r="F214" s="18">
        <v>47014</v>
      </c>
      <c r="G214" s="6">
        <v>300</v>
      </c>
      <c r="H214" s="6">
        <f>SUMIF(Analysis_FEFO!$E$5:$E$174, A214, Analysis_FEFO!$G$5:$G$174)</f>
        <v>300</v>
      </c>
      <c r="I214" s="6">
        <f t="shared" si="28"/>
        <v>0</v>
      </c>
      <c r="J214" s="7">
        <v>52000</v>
      </c>
      <c r="K214" s="7">
        <f t="shared" si="24"/>
        <v>15600000</v>
      </c>
      <c r="L214" s="7">
        <f t="shared" si="29"/>
        <v>15600000</v>
      </c>
      <c r="M214" s="48">
        <f t="shared" ca="1" si="25"/>
        <v>692</v>
      </c>
      <c r="N214" s="6" t="str">
        <f t="shared" ca="1" si="30"/>
        <v>SAFE</v>
      </c>
      <c r="O214" s="29">
        <f t="shared" si="26"/>
        <v>0</v>
      </c>
      <c r="P214" s="38">
        <f t="shared" ca="1" si="31"/>
        <v>0</v>
      </c>
      <c r="Q214" s="4" t="str">
        <f t="shared" ca="1" si="27"/>
        <v>SAFE</v>
      </c>
      <c r="R214" s="30" t="str" cm="1">
        <f t="array" aca="1" ref="R214" ca="1">_xlfn.IFS(Q214="EXPIRED", "WRITE-OFF", Q214="WARNING", "FlASH SALE ", Q214="CRITICAL", "FEFO PRIORITY", Q214="SAFE", "REGULAR SALES")</f>
        <v>REGULAR SALES</v>
      </c>
    </row>
    <row r="215" spans="1:18" x14ac:dyDescent="0.25">
      <c r="A215" s="8" t="s">
        <v>238</v>
      </c>
      <c r="B215" s="8" t="s">
        <v>4</v>
      </c>
      <c r="C215" s="9" t="s">
        <v>5</v>
      </c>
      <c r="D215" s="24" t="s">
        <v>6</v>
      </c>
      <c r="E215" s="19">
        <v>46090</v>
      </c>
      <c r="F215" s="19">
        <v>46460</v>
      </c>
      <c r="G215" s="10">
        <v>250</v>
      </c>
      <c r="H215" s="6">
        <f>SUMIF(Analysis_FEFO!$E$5:$E$174, A215, Analysis_FEFO!$G$5:$G$174)</f>
        <v>0</v>
      </c>
      <c r="I215" s="6">
        <f t="shared" si="28"/>
        <v>250</v>
      </c>
      <c r="J215" s="11">
        <v>79000</v>
      </c>
      <c r="K215" s="11">
        <f t="shared" si="24"/>
        <v>19750000</v>
      </c>
      <c r="L215" s="7">
        <f t="shared" si="29"/>
        <v>0</v>
      </c>
      <c r="M215" s="48">
        <f t="shared" ca="1" si="25"/>
        <v>138</v>
      </c>
      <c r="N215" s="6" t="str">
        <f t="shared" ca="1" si="30"/>
        <v>SAFE</v>
      </c>
      <c r="O215" s="29">
        <f t="shared" si="26"/>
        <v>19750000</v>
      </c>
      <c r="P215" s="38">
        <f t="shared" ca="1" si="31"/>
        <v>0</v>
      </c>
      <c r="Q215" s="8" t="str">
        <f t="shared" ca="1" si="27"/>
        <v>WARNING</v>
      </c>
      <c r="R215" s="30" t="str" cm="1">
        <f t="array" aca="1" ref="R215" ca="1">_xlfn.IFS(Q215="EXPIRED", "WRITE-OFF", Q215="WARNING", "FlASH SALE ", Q215="CRITICAL", "FEFO PRIORITY", Q215="SAFE", "REGULAR SALES")</f>
        <v xml:space="preserve">FlASH SALE </v>
      </c>
    </row>
    <row r="216" spans="1:18" x14ac:dyDescent="0.25">
      <c r="A216" s="4" t="s">
        <v>239</v>
      </c>
      <c r="B216" s="4" t="s">
        <v>4</v>
      </c>
      <c r="C216" s="5" t="s">
        <v>5</v>
      </c>
      <c r="D216" s="23" t="s">
        <v>6</v>
      </c>
      <c r="E216" s="18">
        <v>45945</v>
      </c>
      <c r="F216" s="18">
        <v>46848</v>
      </c>
      <c r="G216" s="6">
        <v>1000</v>
      </c>
      <c r="H216" s="6">
        <f>SUMIF(Analysis_FEFO!$E$5:$E$174, A216, Analysis_FEFO!$G$5:$G$174)</f>
        <v>1000</v>
      </c>
      <c r="I216" s="6">
        <f t="shared" si="28"/>
        <v>0</v>
      </c>
      <c r="J216" s="7">
        <v>81000</v>
      </c>
      <c r="K216" s="7">
        <f t="shared" si="24"/>
        <v>81000000</v>
      </c>
      <c r="L216" s="7">
        <f t="shared" si="29"/>
        <v>81000000</v>
      </c>
      <c r="M216" s="48">
        <f t="shared" ca="1" si="25"/>
        <v>526</v>
      </c>
      <c r="N216" s="6" t="str">
        <f t="shared" ca="1" si="30"/>
        <v>SAFE</v>
      </c>
      <c r="O216" s="29">
        <f t="shared" si="26"/>
        <v>0</v>
      </c>
      <c r="P216" s="38">
        <f t="shared" ca="1" si="31"/>
        <v>0</v>
      </c>
      <c r="Q216" s="4" t="str">
        <f t="shared" ca="1" si="27"/>
        <v>SAFE</v>
      </c>
      <c r="R216" s="30" t="str" cm="1">
        <f t="array" aca="1" ref="R216" ca="1">_xlfn.IFS(Q216="EXPIRED", "WRITE-OFF", Q216="WARNING", "FlASH SALE ", Q216="CRITICAL", "FEFO PRIORITY", Q216="SAFE", "REGULAR SALES")</f>
        <v>REGULAR SALES</v>
      </c>
    </row>
    <row r="217" spans="1:18" x14ac:dyDescent="0.25">
      <c r="A217" s="8" t="s">
        <v>240</v>
      </c>
      <c r="B217" s="8" t="s">
        <v>25</v>
      </c>
      <c r="C217" s="9" t="s">
        <v>26</v>
      </c>
      <c r="D217" s="24" t="s">
        <v>27</v>
      </c>
      <c r="E217" s="19">
        <v>46031</v>
      </c>
      <c r="F217" s="19">
        <v>46562</v>
      </c>
      <c r="G217" s="10">
        <v>250</v>
      </c>
      <c r="H217" s="6">
        <f>SUMIF(Analysis_FEFO!$E$5:$E$174, A217, Analysis_FEFO!$G$5:$G$174)</f>
        <v>0</v>
      </c>
      <c r="I217" s="6">
        <f t="shared" si="28"/>
        <v>250</v>
      </c>
      <c r="J217" s="11">
        <v>65000</v>
      </c>
      <c r="K217" s="11">
        <f t="shared" si="24"/>
        <v>16250000</v>
      </c>
      <c r="L217" s="7">
        <f t="shared" si="29"/>
        <v>0</v>
      </c>
      <c r="M217" s="48">
        <f t="shared" ca="1" si="25"/>
        <v>240</v>
      </c>
      <c r="N217" s="6" t="str">
        <f t="shared" ca="1" si="30"/>
        <v>SAFE</v>
      </c>
      <c r="O217" s="29">
        <f t="shared" si="26"/>
        <v>16250000</v>
      </c>
      <c r="P217" s="38">
        <f t="shared" ca="1" si="31"/>
        <v>0</v>
      </c>
      <c r="Q217" s="8" t="str">
        <f t="shared" ca="1" si="27"/>
        <v>SAFE</v>
      </c>
      <c r="R217" s="30" t="str" cm="1">
        <f t="array" aca="1" ref="R217" ca="1">_xlfn.IFS(Q217="EXPIRED", "WRITE-OFF", Q217="WARNING", "FlASH SALE ", Q217="CRITICAL", "FEFO PRIORITY", Q217="SAFE", "REGULAR SALES")</f>
        <v>REGULAR SALES</v>
      </c>
    </row>
    <row r="218" spans="1:18" x14ac:dyDescent="0.25">
      <c r="A218" s="4" t="s">
        <v>241</v>
      </c>
      <c r="B218" s="4" t="s">
        <v>33</v>
      </c>
      <c r="C218" s="5" t="s">
        <v>34</v>
      </c>
      <c r="D218" s="23" t="s">
        <v>35</v>
      </c>
      <c r="E218" s="18">
        <v>45911</v>
      </c>
      <c r="F218" s="18">
        <v>47105</v>
      </c>
      <c r="G218" s="6">
        <v>200</v>
      </c>
      <c r="H218" s="6">
        <f>SUMIF(Analysis_FEFO!$E$5:$E$174, A218, Analysis_FEFO!$G$5:$G$174)</f>
        <v>200</v>
      </c>
      <c r="I218" s="6">
        <f t="shared" si="28"/>
        <v>0</v>
      </c>
      <c r="J218" s="7">
        <v>53000</v>
      </c>
      <c r="K218" s="7">
        <f t="shared" si="24"/>
        <v>10600000</v>
      </c>
      <c r="L218" s="7">
        <f t="shared" si="29"/>
        <v>10600000</v>
      </c>
      <c r="M218" s="48">
        <f t="shared" ca="1" si="25"/>
        <v>783</v>
      </c>
      <c r="N218" s="6" t="str">
        <f t="shared" ca="1" si="30"/>
        <v>SAFE</v>
      </c>
      <c r="O218" s="29">
        <f t="shared" si="26"/>
        <v>0</v>
      </c>
      <c r="P218" s="38">
        <f t="shared" ca="1" si="31"/>
        <v>0</v>
      </c>
      <c r="Q218" s="4" t="str">
        <f t="shared" ca="1" si="27"/>
        <v>SAFE</v>
      </c>
      <c r="R218" s="30" t="str" cm="1">
        <f t="array" aca="1" ref="R218" ca="1">_xlfn.IFS(Q218="EXPIRED", "WRITE-OFF", Q218="WARNING", "FlASH SALE ", Q218="CRITICAL", "FEFO PRIORITY", Q218="SAFE", "REGULAR SALES")</f>
        <v>REGULAR SALES</v>
      </c>
    </row>
    <row r="219" spans="1:18" x14ac:dyDescent="0.25">
      <c r="A219" s="8" t="s">
        <v>242</v>
      </c>
      <c r="B219" s="8" t="s">
        <v>8</v>
      </c>
      <c r="C219" s="9" t="s">
        <v>9</v>
      </c>
      <c r="D219" s="24" t="s">
        <v>10</v>
      </c>
      <c r="E219" s="19">
        <v>46101</v>
      </c>
      <c r="F219" s="19">
        <v>46471</v>
      </c>
      <c r="G219" s="10">
        <v>500</v>
      </c>
      <c r="H219" s="6">
        <f>SUMIF(Analysis_FEFO!$E$5:$E$174, A219, Analysis_FEFO!$G$5:$G$174)</f>
        <v>0</v>
      </c>
      <c r="I219" s="6">
        <f t="shared" si="28"/>
        <v>500</v>
      </c>
      <c r="J219" s="11">
        <v>35000</v>
      </c>
      <c r="K219" s="11">
        <f t="shared" si="24"/>
        <v>17500000</v>
      </c>
      <c r="L219" s="7">
        <f t="shared" si="29"/>
        <v>0</v>
      </c>
      <c r="M219" s="48">
        <f t="shared" ca="1" si="25"/>
        <v>149</v>
      </c>
      <c r="N219" s="6" t="str">
        <f t="shared" ca="1" si="30"/>
        <v>SAFE</v>
      </c>
      <c r="O219" s="29">
        <f t="shared" si="26"/>
        <v>17500000</v>
      </c>
      <c r="P219" s="38">
        <f t="shared" ca="1" si="31"/>
        <v>0</v>
      </c>
      <c r="Q219" s="8" t="str">
        <f t="shared" ca="1" si="27"/>
        <v>WARNING</v>
      </c>
      <c r="R219" s="30" t="str" cm="1">
        <f t="array" aca="1" ref="R219" ca="1">_xlfn.IFS(Q219="EXPIRED", "WRITE-OFF", Q219="WARNING", "FlASH SALE ", Q219="CRITICAL", "FEFO PRIORITY", Q219="SAFE", "REGULAR SALES")</f>
        <v xml:space="preserve">FlASH SALE </v>
      </c>
    </row>
    <row r="220" spans="1:18" x14ac:dyDescent="0.25">
      <c r="A220" s="4" t="s">
        <v>243</v>
      </c>
      <c r="B220" s="4" t="s">
        <v>4</v>
      </c>
      <c r="C220" s="5" t="s">
        <v>5</v>
      </c>
      <c r="D220" s="23" t="s">
        <v>6</v>
      </c>
      <c r="E220" s="18">
        <v>45823</v>
      </c>
      <c r="F220" s="18">
        <v>46351</v>
      </c>
      <c r="G220" s="6">
        <v>500</v>
      </c>
      <c r="H220" s="6">
        <f>SUMIF(Analysis_FEFO!$E$5:$E$174, A220, Analysis_FEFO!$G$5:$G$174)</f>
        <v>0</v>
      </c>
      <c r="I220" s="6">
        <f t="shared" si="28"/>
        <v>500</v>
      </c>
      <c r="J220" s="7">
        <v>83000</v>
      </c>
      <c r="K220" s="7">
        <f t="shared" si="24"/>
        <v>41500000</v>
      </c>
      <c r="L220" s="7">
        <f t="shared" si="29"/>
        <v>0</v>
      </c>
      <c r="M220" s="48">
        <f t="shared" ca="1" si="25"/>
        <v>29</v>
      </c>
      <c r="N220" s="6" t="str">
        <f t="shared" ca="1" si="30"/>
        <v>EXPIRING SOON (&lt;30 DAYS)</v>
      </c>
      <c r="O220" s="29">
        <f t="shared" si="26"/>
        <v>41500000</v>
      </c>
      <c r="P220" s="38">
        <f t="shared" ca="1" si="31"/>
        <v>41500000</v>
      </c>
      <c r="Q220" s="4" t="str">
        <f t="shared" ca="1" si="27"/>
        <v>CRITICAL</v>
      </c>
      <c r="R220" s="30" t="str" cm="1">
        <f t="array" aca="1" ref="R220" ca="1">_xlfn.IFS(Q220="EXPIRED", "WRITE-OFF", Q220="WARNING", "FlASH SALE ", Q220="CRITICAL", "FEFO PRIORITY", Q220="SAFE", "REGULAR SALES")</f>
        <v>FEFO PRIORITY</v>
      </c>
    </row>
    <row r="221" spans="1:18" x14ac:dyDescent="0.25">
      <c r="A221" s="8" t="s">
        <v>244</v>
      </c>
      <c r="B221" s="8" t="s">
        <v>25</v>
      </c>
      <c r="C221" s="9" t="s">
        <v>26</v>
      </c>
      <c r="D221" s="24" t="s">
        <v>27</v>
      </c>
      <c r="E221" s="19">
        <v>45969</v>
      </c>
      <c r="F221" s="19">
        <v>46503</v>
      </c>
      <c r="G221" s="10">
        <v>750</v>
      </c>
      <c r="H221" s="6">
        <f>SUMIF(Analysis_FEFO!$E$5:$E$174, A221, Analysis_FEFO!$G$5:$G$174)</f>
        <v>0</v>
      </c>
      <c r="I221" s="6">
        <f t="shared" si="28"/>
        <v>750</v>
      </c>
      <c r="J221" s="11">
        <v>56000</v>
      </c>
      <c r="K221" s="11">
        <f t="shared" si="24"/>
        <v>42000000</v>
      </c>
      <c r="L221" s="7">
        <f t="shared" si="29"/>
        <v>0</v>
      </c>
      <c r="M221" s="48">
        <f t="shared" ca="1" si="25"/>
        <v>181</v>
      </c>
      <c r="N221" s="6" t="str">
        <f t="shared" ca="1" si="30"/>
        <v>SAFE</v>
      </c>
      <c r="O221" s="29">
        <f t="shared" si="26"/>
        <v>42000000</v>
      </c>
      <c r="P221" s="38">
        <f t="shared" ca="1" si="31"/>
        <v>0</v>
      </c>
      <c r="Q221" s="8" t="str">
        <f t="shared" ca="1" si="27"/>
        <v>SAFE</v>
      </c>
      <c r="R221" s="30" t="str" cm="1">
        <f t="array" aca="1" ref="R221" ca="1">_xlfn.IFS(Q221="EXPIRED", "WRITE-OFF", Q221="WARNING", "FlASH SALE ", Q221="CRITICAL", "FEFO PRIORITY", Q221="SAFE", "REGULAR SALES")</f>
        <v>REGULAR SALES</v>
      </c>
    </row>
    <row r="222" spans="1:18" x14ac:dyDescent="0.25">
      <c r="A222" s="4" t="s">
        <v>245</v>
      </c>
      <c r="B222" s="4" t="s">
        <v>4</v>
      </c>
      <c r="C222" s="5" t="s">
        <v>5</v>
      </c>
      <c r="D222" s="23" t="s">
        <v>6</v>
      </c>
      <c r="E222" s="18">
        <v>46035</v>
      </c>
      <c r="F222" s="18">
        <v>46589</v>
      </c>
      <c r="G222" s="6">
        <v>100</v>
      </c>
      <c r="H222" s="6">
        <f>SUMIF(Analysis_FEFO!$E$5:$E$174, A222, Analysis_FEFO!$G$5:$G$174)</f>
        <v>0</v>
      </c>
      <c r="I222" s="6">
        <f t="shared" si="28"/>
        <v>100</v>
      </c>
      <c r="J222" s="7">
        <v>87000</v>
      </c>
      <c r="K222" s="7">
        <f t="shared" si="24"/>
        <v>8700000</v>
      </c>
      <c r="L222" s="7">
        <f t="shared" si="29"/>
        <v>0</v>
      </c>
      <c r="M222" s="48">
        <f t="shared" ca="1" si="25"/>
        <v>267</v>
      </c>
      <c r="N222" s="6" t="str">
        <f t="shared" ca="1" si="30"/>
        <v>SAFE</v>
      </c>
      <c r="O222" s="29">
        <f t="shared" si="26"/>
        <v>8700000</v>
      </c>
      <c r="P222" s="38">
        <f t="shared" ca="1" si="31"/>
        <v>0</v>
      </c>
      <c r="Q222" s="4" t="str">
        <f t="shared" ca="1" si="27"/>
        <v>SAFE</v>
      </c>
      <c r="R222" s="30" t="str" cm="1">
        <f t="array" aca="1" ref="R222" ca="1">_xlfn.IFS(Q222="EXPIRED", "WRITE-OFF", Q222="WARNING", "FlASH SALE ", Q222="CRITICAL", "FEFO PRIORITY", Q222="SAFE", "REGULAR SALES")</f>
        <v>REGULAR SALES</v>
      </c>
    </row>
    <row r="223" spans="1:18" x14ac:dyDescent="0.25">
      <c r="A223" s="8" t="s">
        <v>246</v>
      </c>
      <c r="B223" s="8" t="s">
        <v>25</v>
      </c>
      <c r="C223" s="9" t="s">
        <v>26</v>
      </c>
      <c r="D223" s="24" t="s">
        <v>27</v>
      </c>
      <c r="E223" s="19">
        <v>45904</v>
      </c>
      <c r="F223" s="19">
        <v>46435</v>
      </c>
      <c r="G223" s="10">
        <v>100</v>
      </c>
      <c r="H223" s="6">
        <f>SUMIF(Analysis_FEFO!$E$5:$E$174, A223, Analysis_FEFO!$G$5:$G$174)</f>
        <v>0</v>
      </c>
      <c r="I223" s="6">
        <f t="shared" si="28"/>
        <v>100</v>
      </c>
      <c r="J223" s="11">
        <v>55000</v>
      </c>
      <c r="K223" s="11">
        <f t="shared" si="24"/>
        <v>5500000</v>
      </c>
      <c r="L223" s="7">
        <f t="shared" si="29"/>
        <v>0</v>
      </c>
      <c r="M223" s="48">
        <f t="shared" ca="1" si="25"/>
        <v>113</v>
      </c>
      <c r="N223" s="6" t="str">
        <f t="shared" ca="1" si="30"/>
        <v>SAFE</v>
      </c>
      <c r="O223" s="29">
        <f t="shared" si="26"/>
        <v>5500000</v>
      </c>
      <c r="P223" s="38">
        <f t="shared" ca="1" si="31"/>
        <v>0</v>
      </c>
      <c r="Q223" s="8" t="str">
        <f t="shared" ca="1" si="27"/>
        <v>WARNING</v>
      </c>
      <c r="R223" s="30" t="str" cm="1">
        <f t="array" aca="1" ref="R223" ca="1">_xlfn.IFS(Q223="EXPIRED", "WRITE-OFF", Q223="WARNING", "FlASH SALE ", Q223="CRITICAL", "FEFO PRIORITY", Q223="SAFE", "REGULAR SALES")</f>
        <v xml:space="preserve">FlASH SALE </v>
      </c>
    </row>
    <row r="224" spans="1:18" x14ac:dyDescent="0.25">
      <c r="A224" s="4" t="s">
        <v>247</v>
      </c>
      <c r="B224" s="4" t="s">
        <v>16</v>
      </c>
      <c r="C224" s="5" t="s">
        <v>17</v>
      </c>
      <c r="D224" s="23" t="s">
        <v>6</v>
      </c>
      <c r="E224" s="18">
        <v>46044</v>
      </c>
      <c r="F224" s="18">
        <v>46412</v>
      </c>
      <c r="G224" s="6">
        <v>200</v>
      </c>
      <c r="H224" s="6">
        <f>SUMIF(Analysis_FEFO!$E$5:$E$174, A224, Analysis_FEFO!$G$5:$G$174)</f>
        <v>0</v>
      </c>
      <c r="I224" s="6">
        <f t="shared" si="28"/>
        <v>200</v>
      </c>
      <c r="J224" s="7">
        <v>68000</v>
      </c>
      <c r="K224" s="7">
        <f t="shared" si="24"/>
        <v>13600000</v>
      </c>
      <c r="L224" s="7">
        <f t="shared" si="29"/>
        <v>0</v>
      </c>
      <c r="M224" s="48">
        <f t="shared" ca="1" si="25"/>
        <v>90</v>
      </c>
      <c r="N224" s="6" t="str">
        <f t="shared" ca="1" si="30"/>
        <v>SAFE</v>
      </c>
      <c r="O224" s="29">
        <f t="shared" si="26"/>
        <v>13600000</v>
      </c>
      <c r="P224" s="38">
        <f t="shared" ca="1" si="31"/>
        <v>0</v>
      </c>
      <c r="Q224" s="4" t="str">
        <f t="shared" ca="1" si="27"/>
        <v>WARNING</v>
      </c>
      <c r="R224" s="30" t="str" cm="1">
        <f t="array" aca="1" ref="R224" ca="1">_xlfn.IFS(Q224="EXPIRED", "WRITE-OFF", Q224="WARNING", "FlASH SALE ", Q224="CRITICAL", "FEFO PRIORITY", Q224="SAFE", "REGULAR SALES")</f>
        <v xml:space="preserve">FlASH SALE </v>
      </c>
    </row>
    <row r="225" spans="1:18" x14ac:dyDescent="0.25">
      <c r="A225" s="8" t="s">
        <v>248</v>
      </c>
      <c r="B225" s="8" t="s">
        <v>33</v>
      </c>
      <c r="C225" s="9" t="s">
        <v>34</v>
      </c>
      <c r="D225" s="24" t="s">
        <v>35</v>
      </c>
      <c r="E225" s="19">
        <v>45873</v>
      </c>
      <c r="F225" s="19">
        <v>46040</v>
      </c>
      <c r="G225" s="10">
        <v>250</v>
      </c>
      <c r="H225" s="6">
        <f>SUMIF(Analysis_FEFO!$E$5:$E$174, A225, Analysis_FEFO!$G$5:$G$174)</f>
        <v>250</v>
      </c>
      <c r="I225" s="6">
        <f t="shared" si="28"/>
        <v>0</v>
      </c>
      <c r="J225" s="11">
        <v>59000</v>
      </c>
      <c r="K225" s="11">
        <f t="shared" si="24"/>
        <v>14750000</v>
      </c>
      <c r="L225" s="7">
        <f t="shared" si="29"/>
        <v>14750000</v>
      </c>
      <c r="M225" s="48">
        <f t="shared" ca="1" si="25"/>
        <v>-282</v>
      </c>
      <c r="N225" s="6" t="str">
        <f t="shared" ca="1" si="30"/>
        <v>EXPIRED</v>
      </c>
      <c r="O225" s="29">
        <f t="shared" si="26"/>
        <v>0</v>
      </c>
      <c r="P225" s="38">
        <f t="shared" ca="1" si="31"/>
        <v>0</v>
      </c>
      <c r="Q225" s="8" t="str">
        <f t="shared" ca="1" si="27"/>
        <v>EXPIRED</v>
      </c>
      <c r="R225" s="30" t="str" cm="1">
        <f t="array" aca="1" ref="R225" ca="1">_xlfn.IFS(Q225="EXPIRED", "WRITE-OFF", Q225="WARNING", "FlASH SALE ", Q225="CRITICAL", "FEFO PRIORITY", Q225="SAFE", "REGULAR SALES")</f>
        <v>WRITE-OFF</v>
      </c>
    </row>
    <row r="226" spans="1:18" x14ac:dyDescent="0.25">
      <c r="A226" s="4" t="s">
        <v>249</v>
      </c>
      <c r="B226" s="4" t="s">
        <v>25</v>
      </c>
      <c r="C226" s="5" t="s">
        <v>26</v>
      </c>
      <c r="D226" s="23" t="s">
        <v>27</v>
      </c>
      <c r="E226" s="18">
        <v>45954</v>
      </c>
      <c r="F226" s="18">
        <v>46508</v>
      </c>
      <c r="G226" s="6">
        <v>200</v>
      </c>
      <c r="H226" s="6">
        <f>SUMIF(Analysis_FEFO!$E$5:$E$174, A226, Analysis_FEFO!$G$5:$G$174)</f>
        <v>200</v>
      </c>
      <c r="I226" s="6">
        <f t="shared" si="28"/>
        <v>0</v>
      </c>
      <c r="J226" s="7">
        <v>59000</v>
      </c>
      <c r="K226" s="7">
        <f t="shared" si="24"/>
        <v>11800000</v>
      </c>
      <c r="L226" s="7">
        <f t="shared" si="29"/>
        <v>11800000</v>
      </c>
      <c r="M226" s="48">
        <f t="shared" ca="1" si="25"/>
        <v>186</v>
      </c>
      <c r="N226" s="6" t="str">
        <f t="shared" ca="1" si="30"/>
        <v>SAFE</v>
      </c>
      <c r="O226" s="29">
        <f t="shared" si="26"/>
        <v>0</v>
      </c>
      <c r="P226" s="38">
        <f t="shared" ca="1" si="31"/>
        <v>0</v>
      </c>
      <c r="Q226" s="4" t="str">
        <f t="shared" ca="1" si="27"/>
        <v>SAFE</v>
      </c>
      <c r="R226" s="30" t="str" cm="1">
        <f t="array" aca="1" ref="R226" ca="1">_xlfn.IFS(Q226="EXPIRED", "WRITE-OFF", Q226="WARNING", "FlASH SALE ", Q226="CRITICAL", "FEFO PRIORITY", Q226="SAFE", "REGULAR SALES")</f>
        <v>REGULAR SALES</v>
      </c>
    </row>
    <row r="227" spans="1:18" x14ac:dyDescent="0.25">
      <c r="A227" s="8" t="s">
        <v>250</v>
      </c>
      <c r="B227" s="8" t="s">
        <v>45</v>
      </c>
      <c r="C227" s="9" t="s">
        <v>46</v>
      </c>
      <c r="D227" s="24" t="s">
        <v>14</v>
      </c>
      <c r="E227" s="19">
        <v>45948</v>
      </c>
      <c r="F227" s="19">
        <v>46657</v>
      </c>
      <c r="G227" s="10">
        <v>500</v>
      </c>
      <c r="H227" s="6">
        <f>SUMIF(Analysis_FEFO!$E$5:$E$174, A227, Analysis_FEFO!$G$5:$G$174)</f>
        <v>0</v>
      </c>
      <c r="I227" s="6">
        <f t="shared" si="28"/>
        <v>500</v>
      </c>
      <c r="J227" s="11">
        <v>95000</v>
      </c>
      <c r="K227" s="11">
        <f t="shared" si="24"/>
        <v>47500000</v>
      </c>
      <c r="L227" s="7">
        <f t="shared" si="29"/>
        <v>0</v>
      </c>
      <c r="M227" s="48">
        <f t="shared" ca="1" si="25"/>
        <v>335</v>
      </c>
      <c r="N227" s="6" t="str">
        <f t="shared" ca="1" si="30"/>
        <v>SAFE</v>
      </c>
      <c r="O227" s="29">
        <f t="shared" si="26"/>
        <v>47500000</v>
      </c>
      <c r="P227" s="38">
        <f t="shared" ca="1" si="31"/>
        <v>0</v>
      </c>
      <c r="Q227" s="8" t="str">
        <f t="shared" ca="1" si="27"/>
        <v>SAFE</v>
      </c>
      <c r="R227" s="30" t="str" cm="1">
        <f t="array" aca="1" ref="R227" ca="1">_xlfn.IFS(Q227="EXPIRED", "WRITE-OFF", Q227="WARNING", "FlASH SALE ", Q227="CRITICAL", "FEFO PRIORITY", Q227="SAFE", "REGULAR SALES")</f>
        <v>REGULAR SALES</v>
      </c>
    </row>
    <row r="228" spans="1:18" x14ac:dyDescent="0.25">
      <c r="A228" s="4" t="s">
        <v>251</v>
      </c>
      <c r="B228" s="4" t="s">
        <v>12</v>
      </c>
      <c r="C228" s="5" t="s">
        <v>13</v>
      </c>
      <c r="D228" s="23" t="s">
        <v>14</v>
      </c>
      <c r="E228" s="18">
        <v>46103</v>
      </c>
      <c r="F228" s="18">
        <v>46641</v>
      </c>
      <c r="G228" s="6">
        <v>300</v>
      </c>
      <c r="H228" s="6">
        <f>SUMIF(Analysis_FEFO!$E$5:$E$174, A228, Analysis_FEFO!$G$5:$G$174)</f>
        <v>0</v>
      </c>
      <c r="I228" s="6">
        <f t="shared" si="28"/>
        <v>300</v>
      </c>
      <c r="J228" s="7">
        <v>33000</v>
      </c>
      <c r="K228" s="7">
        <f t="shared" si="24"/>
        <v>9900000</v>
      </c>
      <c r="L228" s="7">
        <f t="shared" si="29"/>
        <v>0</v>
      </c>
      <c r="M228" s="48">
        <f t="shared" ca="1" si="25"/>
        <v>319</v>
      </c>
      <c r="N228" s="6" t="str">
        <f t="shared" ca="1" si="30"/>
        <v>SAFE</v>
      </c>
      <c r="O228" s="29">
        <f t="shared" si="26"/>
        <v>9900000</v>
      </c>
      <c r="P228" s="38">
        <f t="shared" ca="1" si="31"/>
        <v>0</v>
      </c>
      <c r="Q228" s="4" t="str">
        <f t="shared" ca="1" si="27"/>
        <v>SAFE</v>
      </c>
      <c r="R228" s="30" t="str" cm="1">
        <f t="array" aca="1" ref="R228" ca="1">_xlfn.IFS(Q228="EXPIRED", "WRITE-OFF", Q228="WARNING", "FlASH SALE ", Q228="CRITICAL", "FEFO PRIORITY", Q228="SAFE", "REGULAR SALES")</f>
        <v>REGULAR SALES</v>
      </c>
    </row>
    <row r="229" spans="1:18" x14ac:dyDescent="0.25">
      <c r="A229" s="8" t="s">
        <v>252</v>
      </c>
      <c r="B229" s="8" t="s">
        <v>25</v>
      </c>
      <c r="C229" s="9" t="s">
        <v>26</v>
      </c>
      <c r="D229" s="24" t="s">
        <v>27</v>
      </c>
      <c r="E229" s="19">
        <v>45961</v>
      </c>
      <c r="F229" s="19">
        <v>46309</v>
      </c>
      <c r="G229" s="10">
        <v>200</v>
      </c>
      <c r="H229" s="6">
        <f>SUMIF(Analysis_FEFO!$E$5:$E$174, A229, Analysis_FEFO!$G$5:$G$174)</f>
        <v>0</v>
      </c>
      <c r="I229" s="6">
        <f t="shared" si="28"/>
        <v>200</v>
      </c>
      <c r="J229" s="11">
        <v>58000</v>
      </c>
      <c r="K229" s="11">
        <f t="shared" si="24"/>
        <v>11600000</v>
      </c>
      <c r="L229" s="7">
        <f t="shared" si="29"/>
        <v>0</v>
      </c>
      <c r="M229" s="48">
        <f t="shared" ca="1" si="25"/>
        <v>-13</v>
      </c>
      <c r="N229" s="6" t="str">
        <f t="shared" ca="1" si="30"/>
        <v>EXPIRED</v>
      </c>
      <c r="O229" s="29">
        <f t="shared" si="26"/>
        <v>11600000</v>
      </c>
      <c r="P229" s="38">
        <f t="shared" ca="1" si="31"/>
        <v>11600000</v>
      </c>
      <c r="Q229" s="8" t="str">
        <f t="shared" ca="1" si="27"/>
        <v>EXPIRED</v>
      </c>
      <c r="R229" s="30" t="str" cm="1">
        <f t="array" aca="1" ref="R229" ca="1">_xlfn.IFS(Q229="EXPIRED", "WRITE-OFF", Q229="WARNING", "FlASH SALE ", Q229="CRITICAL", "FEFO PRIORITY", Q229="SAFE", "REGULAR SALES")</f>
        <v>WRITE-OFF</v>
      </c>
    </row>
    <row r="230" spans="1:18" x14ac:dyDescent="0.25">
      <c r="A230" s="4" t="s">
        <v>253</v>
      </c>
      <c r="B230" s="4" t="s">
        <v>12</v>
      </c>
      <c r="C230" s="5" t="s">
        <v>13</v>
      </c>
      <c r="D230" s="23" t="s">
        <v>14</v>
      </c>
      <c r="E230" s="18">
        <v>46051</v>
      </c>
      <c r="F230" s="18">
        <v>46405</v>
      </c>
      <c r="G230" s="6">
        <v>100</v>
      </c>
      <c r="H230" s="6">
        <f>SUMIF(Analysis_FEFO!$E$5:$E$174, A230, Analysis_FEFO!$G$5:$G$174)</f>
        <v>0</v>
      </c>
      <c r="I230" s="6">
        <f t="shared" si="28"/>
        <v>100</v>
      </c>
      <c r="J230" s="7">
        <v>28000</v>
      </c>
      <c r="K230" s="7">
        <f t="shared" si="24"/>
        <v>2800000</v>
      </c>
      <c r="L230" s="7">
        <f t="shared" si="29"/>
        <v>0</v>
      </c>
      <c r="M230" s="48">
        <f t="shared" ca="1" si="25"/>
        <v>83</v>
      </c>
      <c r="N230" s="6" t="str">
        <f t="shared" ca="1" si="30"/>
        <v>SAFE</v>
      </c>
      <c r="O230" s="29">
        <f t="shared" si="26"/>
        <v>2800000</v>
      </c>
      <c r="P230" s="38">
        <f t="shared" ca="1" si="31"/>
        <v>0</v>
      </c>
      <c r="Q230" s="4" t="str">
        <f t="shared" ca="1" si="27"/>
        <v>WARNING</v>
      </c>
      <c r="R230" s="30" t="str" cm="1">
        <f t="array" aca="1" ref="R230" ca="1">_xlfn.IFS(Q230="EXPIRED", "WRITE-OFF", Q230="WARNING", "FlASH SALE ", Q230="CRITICAL", "FEFO PRIORITY", Q230="SAFE", "REGULAR SALES")</f>
        <v xml:space="preserve">FlASH SALE </v>
      </c>
    </row>
    <row r="231" spans="1:18" x14ac:dyDescent="0.25">
      <c r="A231" s="8" t="s">
        <v>254</v>
      </c>
      <c r="B231" s="8" t="s">
        <v>33</v>
      </c>
      <c r="C231" s="9" t="s">
        <v>34</v>
      </c>
      <c r="D231" s="24" t="s">
        <v>35</v>
      </c>
      <c r="E231" s="19">
        <v>46049</v>
      </c>
      <c r="F231" s="19">
        <v>46777</v>
      </c>
      <c r="G231" s="10">
        <v>250</v>
      </c>
      <c r="H231" s="6">
        <f>SUMIF(Analysis_FEFO!$E$5:$E$174, A231, Analysis_FEFO!$G$5:$G$174)</f>
        <v>0</v>
      </c>
      <c r="I231" s="6">
        <f t="shared" si="28"/>
        <v>250</v>
      </c>
      <c r="J231" s="11">
        <v>56000</v>
      </c>
      <c r="K231" s="11">
        <f t="shared" si="24"/>
        <v>14000000</v>
      </c>
      <c r="L231" s="7">
        <f t="shared" si="29"/>
        <v>0</v>
      </c>
      <c r="M231" s="48">
        <f t="shared" ca="1" si="25"/>
        <v>455</v>
      </c>
      <c r="N231" s="6" t="str">
        <f t="shared" ca="1" si="30"/>
        <v>SAFE</v>
      </c>
      <c r="O231" s="29">
        <f t="shared" si="26"/>
        <v>14000000</v>
      </c>
      <c r="P231" s="38">
        <f t="shared" ca="1" si="31"/>
        <v>0</v>
      </c>
      <c r="Q231" s="8" t="str">
        <f t="shared" ca="1" si="27"/>
        <v>SAFE</v>
      </c>
      <c r="R231" s="30" t="str" cm="1">
        <f t="array" aca="1" ref="R231" ca="1">_xlfn.IFS(Q231="EXPIRED", "WRITE-OFF", Q231="WARNING", "FlASH SALE ", Q231="CRITICAL", "FEFO PRIORITY", Q231="SAFE", "REGULAR SALES")</f>
        <v>REGULAR SALES</v>
      </c>
    </row>
    <row r="232" spans="1:18" x14ac:dyDescent="0.25">
      <c r="A232" s="4" t="s">
        <v>255</v>
      </c>
      <c r="B232" s="4" t="s">
        <v>12</v>
      </c>
      <c r="C232" s="5" t="s">
        <v>13</v>
      </c>
      <c r="D232" s="23" t="s">
        <v>14</v>
      </c>
      <c r="E232" s="18">
        <v>45855</v>
      </c>
      <c r="F232" s="18">
        <v>46393</v>
      </c>
      <c r="G232" s="6">
        <v>750</v>
      </c>
      <c r="H232" s="6">
        <f>SUMIF(Analysis_FEFO!$E$5:$E$174, A232, Analysis_FEFO!$G$5:$G$174)</f>
        <v>750</v>
      </c>
      <c r="I232" s="6">
        <f t="shared" si="28"/>
        <v>0</v>
      </c>
      <c r="J232" s="7">
        <v>29000</v>
      </c>
      <c r="K232" s="7">
        <f t="shared" si="24"/>
        <v>21750000</v>
      </c>
      <c r="L232" s="7">
        <f t="shared" si="29"/>
        <v>21750000</v>
      </c>
      <c r="M232" s="48">
        <f t="shared" ca="1" si="25"/>
        <v>71</v>
      </c>
      <c r="N232" s="6" t="str">
        <f t="shared" ca="1" si="30"/>
        <v>SAFE</v>
      </c>
      <c r="O232" s="29">
        <f t="shared" si="26"/>
        <v>0</v>
      </c>
      <c r="P232" s="38">
        <f t="shared" ca="1" si="31"/>
        <v>0</v>
      </c>
      <c r="Q232" s="4" t="str">
        <f t="shared" ca="1" si="27"/>
        <v>WARNING</v>
      </c>
      <c r="R232" s="30" t="str" cm="1">
        <f t="array" aca="1" ref="R232" ca="1">_xlfn.IFS(Q232="EXPIRED", "WRITE-OFF", Q232="WARNING", "FlASH SALE ", Q232="CRITICAL", "FEFO PRIORITY", Q232="SAFE", "REGULAR SALES")</f>
        <v xml:space="preserve">FlASH SALE </v>
      </c>
    </row>
    <row r="233" spans="1:18" x14ac:dyDescent="0.25">
      <c r="A233" s="8" t="s">
        <v>256</v>
      </c>
      <c r="B233" s="8" t="s">
        <v>19</v>
      </c>
      <c r="C233" s="9" t="s">
        <v>20</v>
      </c>
      <c r="D233" s="24" t="s">
        <v>21</v>
      </c>
      <c r="E233" s="19">
        <v>45869</v>
      </c>
      <c r="F233" s="19">
        <v>46401</v>
      </c>
      <c r="G233" s="10">
        <v>500</v>
      </c>
      <c r="H233" s="6">
        <f>SUMIF(Analysis_FEFO!$E$5:$E$174, A233, Analysis_FEFO!$G$5:$G$174)</f>
        <v>500</v>
      </c>
      <c r="I233" s="6">
        <f t="shared" si="28"/>
        <v>0</v>
      </c>
      <c r="J233" s="11">
        <v>50000</v>
      </c>
      <c r="K233" s="11">
        <f t="shared" si="24"/>
        <v>25000000</v>
      </c>
      <c r="L233" s="7">
        <f t="shared" si="29"/>
        <v>25000000</v>
      </c>
      <c r="M233" s="48">
        <f t="shared" ca="1" si="25"/>
        <v>79</v>
      </c>
      <c r="N233" s="6" t="str">
        <f t="shared" ca="1" si="30"/>
        <v>SAFE</v>
      </c>
      <c r="O233" s="29">
        <f t="shared" si="26"/>
        <v>0</v>
      </c>
      <c r="P233" s="38">
        <f t="shared" ca="1" si="31"/>
        <v>0</v>
      </c>
      <c r="Q233" s="8" t="str">
        <f t="shared" ca="1" si="27"/>
        <v>WARNING</v>
      </c>
      <c r="R233" s="30" t="str" cm="1">
        <f t="array" aca="1" ref="R233" ca="1">_xlfn.IFS(Q233="EXPIRED", "WRITE-OFF", Q233="WARNING", "FlASH SALE ", Q233="CRITICAL", "FEFO PRIORITY", Q233="SAFE", "REGULAR SALES")</f>
        <v xml:space="preserve">FlASH SALE </v>
      </c>
    </row>
    <row r="234" spans="1:18" x14ac:dyDescent="0.25">
      <c r="A234" s="4" t="s">
        <v>257</v>
      </c>
      <c r="B234" s="4" t="s">
        <v>19</v>
      </c>
      <c r="C234" s="5" t="s">
        <v>20</v>
      </c>
      <c r="D234" s="23" t="s">
        <v>21</v>
      </c>
      <c r="E234" s="18">
        <v>46024</v>
      </c>
      <c r="F234" s="18">
        <v>46551</v>
      </c>
      <c r="G234" s="6">
        <v>200</v>
      </c>
      <c r="H234" s="6">
        <f>SUMIF(Analysis_FEFO!$E$5:$E$174, A234, Analysis_FEFO!$G$5:$G$174)</f>
        <v>0</v>
      </c>
      <c r="I234" s="6">
        <f t="shared" si="28"/>
        <v>200</v>
      </c>
      <c r="J234" s="7">
        <v>52000</v>
      </c>
      <c r="K234" s="7">
        <f t="shared" si="24"/>
        <v>10400000</v>
      </c>
      <c r="L234" s="7">
        <f t="shared" si="29"/>
        <v>0</v>
      </c>
      <c r="M234" s="48">
        <f t="shared" ca="1" si="25"/>
        <v>229</v>
      </c>
      <c r="N234" s="6" t="str">
        <f t="shared" ca="1" si="30"/>
        <v>SAFE</v>
      </c>
      <c r="O234" s="29">
        <f t="shared" si="26"/>
        <v>10400000</v>
      </c>
      <c r="P234" s="38">
        <f t="shared" ca="1" si="31"/>
        <v>0</v>
      </c>
      <c r="Q234" s="4" t="str">
        <f t="shared" ca="1" si="27"/>
        <v>SAFE</v>
      </c>
      <c r="R234" s="30" t="str" cm="1">
        <f t="array" aca="1" ref="R234" ca="1">_xlfn.IFS(Q234="EXPIRED", "WRITE-OFF", Q234="WARNING", "FlASH SALE ", Q234="CRITICAL", "FEFO PRIORITY", Q234="SAFE", "REGULAR SALES")</f>
        <v>REGULAR SALES</v>
      </c>
    </row>
    <row r="235" spans="1:18" x14ac:dyDescent="0.25">
      <c r="A235" s="8" t="s">
        <v>258</v>
      </c>
      <c r="B235" s="8" t="s">
        <v>45</v>
      </c>
      <c r="C235" s="9" t="s">
        <v>46</v>
      </c>
      <c r="D235" s="24" t="s">
        <v>14</v>
      </c>
      <c r="E235" s="19">
        <v>45876</v>
      </c>
      <c r="F235" s="19">
        <v>46587</v>
      </c>
      <c r="G235" s="10">
        <v>250</v>
      </c>
      <c r="H235" s="6">
        <f>SUMIF(Analysis_FEFO!$E$5:$E$174, A235, Analysis_FEFO!$G$5:$G$174)</f>
        <v>250</v>
      </c>
      <c r="I235" s="6">
        <f t="shared" si="28"/>
        <v>0</v>
      </c>
      <c r="J235" s="11">
        <v>92000</v>
      </c>
      <c r="K235" s="11">
        <f t="shared" si="24"/>
        <v>23000000</v>
      </c>
      <c r="L235" s="7">
        <f t="shared" si="29"/>
        <v>23000000</v>
      </c>
      <c r="M235" s="48">
        <f t="shared" ca="1" si="25"/>
        <v>265</v>
      </c>
      <c r="N235" s="6" t="str">
        <f t="shared" ca="1" si="30"/>
        <v>SAFE</v>
      </c>
      <c r="O235" s="29">
        <f t="shared" si="26"/>
        <v>0</v>
      </c>
      <c r="P235" s="38">
        <f t="shared" ca="1" si="31"/>
        <v>0</v>
      </c>
      <c r="Q235" s="8" t="str">
        <f t="shared" ca="1" si="27"/>
        <v>SAFE</v>
      </c>
      <c r="R235" s="30" t="str" cm="1">
        <f t="array" aca="1" ref="R235" ca="1">_xlfn.IFS(Q235="EXPIRED", "WRITE-OFF", Q235="WARNING", "FlASH SALE ", Q235="CRITICAL", "FEFO PRIORITY", Q235="SAFE", "REGULAR SALES")</f>
        <v>REGULAR SALES</v>
      </c>
    </row>
    <row r="236" spans="1:18" x14ac:dyDescent="0.25">
      <c r="A236" s="4" t="s">
        <v>259</v>
      </c>
      <c r="B236" s="4" t="s">
        <v>8</v>
      </c>
      <c r="C236" s="5" t="s">
        <v>9</v>
      </c>
      <c r="D236" s="23" t="s">
        <v>10</v>
      </c>
      <c r="E236" s="18">
        <v>45931</v>
      </c>
      <c r="F236" s="18">
        <v>46439</v>
      </c>
      <c r="G236" s="6">
        <v>100</v>
      </c>
      <c r="H236" s="6">
        <f>SUMIF(Analysis_FEFO!$E$5:$E$174, A236, Analysis_FEFO!$G$5:$G$174)</f>
        <v>100</v>
      </c>
      <c r="I236" s="6">
        <f t="shared" si="28"/>
        <v>0</v>
      </c>
      <c r="J236" s="7">
        <v>33000</v>
      </c>
      <c r="K236" s="7">
        <f t="shared" si="24"/>
        <v>3300000</v>
      </c>
      <c r="L236" s="7">
        <f t="shared" si="29"/>
        <v>3300000</v>
      </c>
      <c r="M236" s="48">
        <f t="shared" ca="1" si="25"/>
        <v>117</v>
      </c>
      <c r="N236" s="6" t="str">
        <f t="shared" ca="1" si="30"/>
        <v>SAFE</v>
      </c>
      <c r="O236" s="29">
        <f t="shared" si="26"/>
        <v>0</v>
      </c>
      <c r="P236" s="38">
        <f t="shared" ca="1" si="31"/>
        <v>0</v>
      </c>
      <c r="Q236" s="4" t="str">
        <f t="shared" ca="1" si="27"/>
        <v>WARNING</v>
      </c>
      <c r="R236" s="30" t="str" cm="1">
        <f t="array" aca="1" ref="R236" ca="1">_xlfn.IFS(Q236="EXPIRED", "WRITE-OFF", Q236="WARNING", "FlASH SALE ", Q236="CRITICAL", "FEFO PRIORITY", Q236="SAFE", "REGULAR SALES")</f>
        <v xml:space="preserve">FlASH SALE </v>
      </c>
    </row>
    <row r="237" spans="1:18" x14ac:dyDescent="0.25">
      <c r="A237" s="8" t="s">
        <v>260</v>
      </c>
      <c r="B237" s="8" t="s">
        <v>33</v>
      </c>
      <c r="C237" s="9" t="s">
        <v>34</v>
      </c>
      <c r="D237" s="24" t="s">
        <v>35</v>
      </c>
      <c r="E237" s="19">
        <v>45817</v>
      </c>
      <c r="F237" s="19">
        <v>46461</v>
      </c>
      <c r="G237" s="10">
        <v>300</v>
      </c>
      <c r="H237" s="6">
        <f>SUMIF(Analysis_FEFO!$E$5:$E$174, A237, Analysis_FEFO!$G$5:$G$174)</f>
        <v>0</v>
      </c>
      <c r="I237" s="6">
        <f t="shared" si="28"/>
        <v>300</v>
      </c>
      <c r="J237" s="11">
        <v>62000</v>
      </c>
      <c r="K237" s="11">
        <f t="shared" si="24"/>
        <v>18600000</v>
      </c>
      <c r="L237" s="7">
        <f t="shared" si="29"/>
        <v>0</v>
      </c>
      <c r="M237" s="48">
        <f t="shared" ca="1" si="25"/>
        <v>139</v>
      </c>
      <c r="N237" s="6" t="str">
        <f t="shared" ca="1" si="30"/>
        <v>SAFE</v>
      </c>
      <c r="O237" s="29">
        <f t="shared" si="26"/>
        <v>18600000</v>
      </c>
      <c r="P237" s="38">
        <f t="shared" ca="1" si="31"/>
        <v>0</v>
      </c>
      <c r="Q237" s="8" t="str">
        <f t="shared" ca="1" si="27"/>
        <v>WARNING</v>
      </c>
      <c r="R237" s="30" t="str" cm="1">
        <f t="array" aca="1" ref="R237" ca="1">_xlfn.IFS(Q237="EXPIRED", "WRITE-OFF", Q237="WARNING", "FlASH SALE ", Q237="CRITICAL", "FEFO PRIORITY", Q237="SAFE", "REGULAR SALES")</f>
        <v xml:space="preserve">FlASH SALE </v>
      </c>
    </row>
    <row r="238" spans="1:18" x14ac:dyDescent="0.25">
      <c r="A238" s="4" t="s">
        <v>261</v>
      </c>
      <c r="B238" s="4" t="s">
        <v>25</v>
      </c>
      <c r="C238" s="5" t="s">
        <v>26</v>
      </c>
      <c r="D238" s="23" t="s">
        <v>27</v>
      </c>
      <c r="E238" s="18">
        <v>45932</v>
      </c>
      <c r="F238" s="18">
        <v>46559</v>
      </c>
      <c r="G238" s="6">
        <v>300</v>
      </c>
      <c r="H238" s="6">
        <f>SUMIF(Analysis_FEFO!$E$5:$E$174, A238, Analysis_FEFO!$G$5:$G$174)</f>
        <v>0</v>
      </c>
      <c r="I238" s="6">
        <f t="shared" si="28"/>
        <v>300</v>
      </c>
      <c r="J238" s="7">
        <v>64000</v>
      </c>
      <c r="K238" s="7">
        <f t="shared" si="24"/>
        <v>19200000</v>
      </c>
      <c r="L238" s="7">
        <f t="shared" si="29"/>
        <v>0</v>
      </c>
      <c r="M238" s="48">
        <f t="shared" ca="1" si="25"/>
        <v>237</v>
      </c>
      <c r="N238" s="6" t="str">
        <f t="shared" ca="1" si="30"/>
        <v>SAFE</v>
      </c>
      <c r="O238" s="29">
        <f t="shared" si="26"/>
        <v>19200000</v>
      </c>
      <c r="P238" s="38">
        <f t="shared" ca="1" si="31"/>
        <v>0</v>
      </c>
      <c r="Q238" s="4" t="str">
        <f t="shared" ca="1" si="27"/>
        <v>SAFE</v>
      </c>
      <c r="R238" s="30" t="str" cm="1">
        <f t="array" aca="1" ref="R238" ca="1">_xlfn.IFS(Q238="EXPIRED", "WRITE-OFF", Q238="WARNING", "FlASH SALE ", Q238="CRITICAL", "FEFO PRIORITY", Q238="SAFE", "REGULAR SALES")</f>
        <v>REGULAR SALES</v>
      </c>
    </row>
    <row r="239" spans="1:18" x14ac:dyDescent="0.25">
      <c r="A239" s="8" t="s">
        <v>262</v>
      </c>
      <c r="B239" s="8" t="s">
        <v>25</v>
      </c>
      <c r="C239" s="9" t="s">
        <v>26</v>
      </c>
      <c r="D239" s="24" t="s">
        <v>27</v>
      </c>
      <c r="E239" s="19">
        <v>45845</v>
      </c>
      <c r="F239" s="19">
        <v>46387</v>
      </c>
      <c r="G239" s="10">
        <v>750</v>
      </c>
      <c r="H239" s="6">
        <f>SUMIF(Analysis_FEFO!$E$5:$E$174, A239, Analysis_FEFO!$G$5:$G$174)</f>
        <v>750</v>
      </c>
      <c r="I239" s="6">
        <f t="shared" si="28"/>
        <v>0</v>
      </c>
      <c r="J239" s="11">
        <v>55000</v>
      </c>
      <c r="K239" s="11">
        <f t="shared" si="24"/>
        <v>41250000</v>
      </c>
      <c r="L239" s="7">
        <f t="shared" si="29"/>
        <v>41250000</v>
      </c>
      <c r="M239" s="48">
        <f t="shared" ca="1" si="25"/>
        <v>65</v>
      </c>
      <c r="N239" s="6" t="str">
        <f t="shared" ca="1" si="30"/>
        <v>SAFE</v>
      </c>
      <c r="O239" s="29">
        <f t="shared" si="26"/>
        <v>0</v>
      </c>
      <c r="P239" s="38">
        <f t="shared" ca="1" si="31"/>
        <v>0</v>
      </c>
      <c r="Q239" s="8" t="str">
        <f t="shared" ca="1" si="27"/>
        <v>WARNING</v>
      </c>
      <c r="R239" s="30" t="str" cm="1">
        <f t="array" aca="1" ref="R239" ca="1">_xlfn.IFS(Q239="EXPIRED", "WRITE-OFF", Q239="WARNING", "FlASH SALE ", Q239="CRITICAL", "FEFO PRIORITY", Q239="SAFE", "REGULAR SALES")</f>
        <v xml:space="preserve">FlASH SALE </v>
      </c>
    </row>
    <row r="240" spans="1:18" x14ac:dyDescent="0.25">
      <c r="A240" s="4" t="s">
        <v>263</v>
      </c>
      <c r="B240" s="4" t="s">
        <v>25</v>
      </c>
      <c r="C240" s="5" t="s">
        <v>26</v>
      </c>
      <c r="D240" s="23" t="s">
        <v>27</v>
      </c>
      <c r="E240" s="18">
        <v>45848</v>
      </c>
      <c r="F240" s="18">
        <v>46402</v>
      </c>
      <c r="G240" s="6">
        <v>300</v>
      </c>
      <c r="H240" s="6">
        <f>SUMIF(Analysis_FEFO!$E$5:$E$174, A240, Analysis_FEFO!$G$5:$G$174)</f>
        <v>0</v>
      </c>
      <c r="I240" s="6">
        <f t="shared" si="28"/>
        <v>300</v>
      </c>
      <c r="J240" s="7">
        <v>64000</v>
      </c>
      <c r="K240" s="7">
        <f t="shared" si="24"/>
        <v>19200000</v>
      </c>
      <c r="L240" s="7">
        <f t="shared" si="29"/>
        <v>0</v>
      </c>
      <c r="M240" s="48">
        <f t="shared" ca="1" si="25"/>
        <v>80</v>
      </c>
      <c r="N240" s="6" t="str">
        <f t="shared" ca="1" si="30"/>
        <v>SAFE</v>
      </c>
      <c r="O240" s="29">
        <f t="shared" si="26"/>
        <v>19200000</v>
      </c>
      <c r="P240" s="38">
        <f t="shared" ca="1" si="31"/>
        <v>0</v>
      </c>
      <c r="Q240" s="4" t="str">
        <f t="shared" ca="1" si="27"/>
        <v>WARNING</v>
      </c>
      <c r="R240" s="30" t="str" cm="1">
        <f t="array" aca="1" ref="R240" ca="1">_xlfn.IFS(Q240="EXPIRED", "WRITE-OFF", Q240="WARNING", "FlASH SALE ", Q240="CRITICAL", "FEFO PRIORITY", Q240="SAFE", "REGULAR SALES")</f>
        <v xml:space="preserve">FlASH SALE </v>
      </c>
    </row>
    <row r="241" spans="1:18" x14ac:dyDescent="0.25">
      <c r="A241" s="8" t="s">
        <v>264</v>
      </c>
      <c r="B241" s="8" t="s">
        <v>8</v>
      </c>
      <c r="C241" s="9" t="s">
        <v>9</v>
      </c>
      <c r="D241" s="24" t="s">
        <v>10</v>
      </c>
      <c r="E241" s="19">
        <v>45864</v>
      </c>
      <c r="F241" s="19">
        <v>46581</v>
      </c>
      <c r="G241" s="10">
        <v>300</v>
      </c>
      <c r="H241" s="6">
        <f>SUMIF(Analysis_FEFO!$E$5:$E$174, A241, Analysis_FEFO!$G$5:$G$174)</f>
        <v>0</v>
      </c>
      <c r="I241" s="6">
        <f t="shared" si="28"/>
        <v>300</v>
      </c>
      <c r="J241" s="11">
        <v>36000</v>
      </c>
      <c r="K241" s="11">
        <f t="shared" si="24"/>
        <v>10800000</v>
      </c>
      <c r="L241" s="7">
        <f t="shared" si="29"/>
        <v>0</v>
      </c>
      <c r="M241" s="48">
        <f t="shared" ca="1" si="25"/>
        <v>259</v>
      </c>
      <c r="N241" s="6" t="str">
        <f t="shared" ca="1" si="30"/>
        <v>SAFE</v>
      </c>
      <c r="O241" s="29">
        <f t="shared" si="26"/>
        <v>10800000</v>
      </c>
      <c r="P241" s="38">
        <f t="shared" ca="1" si="31"/>
        <v>0</v>
      </c>
      <c r="Q241" s="8" t="str">
        <f t="shared" ca="1" si="27"/>
        <v>SAFE</v>
      </c>
      <c r="R241" s="30" t="str" cm="1">
        <f t="array" aca="1" ref="R241" ca="1">_xlfn.IFS(Q241="EXPIRED", "WRITE-OFF", Q241="WARNING", "FlASH SALE ", Q241="CRITICAL", "FEFO PRIORITY", Q241="SAFE", "REGULAR SALES")</f>
        <v>REGULAR SALES</v>
      </c>
    </row>
    <row r="242" spans="1:18" x14ac:dyDescent="0.25">
      <c r="A242" s="4" t="s">
        <v>265</v>
      </c>
      <c r="B242" s="4" t="s">
        <v>19</v>
      </c>
      <c r="C242" s="5" t="s">
        <v>20</v>
      </c>
      <c r="D242" s="23" t="s">
        <v>21</v>
      </c>
      <c r="E242" s="18">
        <v>46070</v>
      </c>
      <c r="F242" s="18">
        <v>46430</v>
      </c>
      <c r="G242" s="6">
        <v>300</v>
      </c>
      <c r="H242" s="6">
        <f>SUMIF(Analysis_FEFO!$E$5:$E$174, A242, Analysis_FEFO!$G$5:$G$174)</f>
        <v>0</v>
      </c>
      <c r="I242" s="6">
        <f t="shared" si="28"/>
        <v>300</v>
      </c>
      <c r="J242" s="7">
        <v>45000</v>
      </c>
      <c r="K242" s="7">
        <f t="shared" si="24"/>
        <v>13500000</v>
      </c>
      <c r="L242" s="7">
        <f t="shared" si="29"/>
        <v>0</v>
      </c>
      <c r="M242" s="48">
        <f t="shared" ca="1" si="25"/>
        <v>108</v>
      </c>
      <c r="N242" s="6" t="str">
        <f t="shared" ca="1" si="30"/>
        <v>SAFE</v>
      </c>
      <c r="O242" s="29">
        <f t="shared" si="26"/>
        <v>13500000</v>
      </c>
      <c r="P242" s="38">
        <f t="shared" ca="1" si="31"/>
        <v>0</v>
      </c>
      <c r="Q242" s="4" t="str">
        <f t="shared" ca="1" si="27"/>
        <v>WARNING</v>
      </c>
      <c r="R242" s="30" t="str" cm="1">
        <f t="array" aca="1" ref="R242" ca="1">_xlfn.IFS(Q242="EXPIRED", "WRITE-OFF", Q242="WARNING", "FlASH SALE ", Q242="CRITICAL", "FEFO PRIORITY", Q242="SAFE", "REGULAR SALES")</f>
        <v xml:space="preserve">FlASH SALE </v>
      </c>
    </row>
    <row r="243" spans="1:18" x14ac:dyDescent="0.25">
      <c r="A243" s="8" t="s">
        <v>266</v>
      </c>
      <c r="B243" s="8" t="s">
        <v>45</v>
      </c>
      <c r="C243" s="9" t="s">
        <v>46</v>
      </c>
      <c r="D243" s="24" t="s">
        <v>14</v>
      </c>
      <c r="E243" s="19">
        <v>46077</v>
      </c>
      <c r="F243" s="19">
        <v>46626</v>
      </c>
      <c r="G243" s="10">
        <v>750</v>
      </c>
      <c r="H243" s="6">
        <f>SUMIF(Analysis_FEFO!$E$5:$E$174, A243, Analysis_FEFO!$G$5:$G$174)</f>
        <v>0</v>
      </c>
      <c r="I243" s="6">
        <f t="shared" si="28"/>
        <v>750</v>
      </c>
      <c r="J243" s="11">
        <v>88000</v>
      </c>
      <c r="K243" s="11">
        <f t="shared" si="24"/>
        <v>66000000</v>
      </c>
      <c r="L243" s="7">
        <f t="shared" si="29"/>
        <v>0</v>
      </c>
      <c r="M243" s="48">
        <f t="shared" ca="1" si="25"/>
        <v>304</v>
      </c>
      <c r="N243" s="6" t="str">
        <f t="shared" ca="1" si="30"/>
        <v>SAFE</v>
      </c>
      <c r="O243" s="29">
        <f t="shared" si="26"/>
        <v>66000000</v>
      </c>
      <c r="P243" s="38">
        <f t="shared" ca="1" si="31"/>
        <v>0</v>
      </c>
      <c r="Q243" s="8" t="str">
        <f t="shared" ca="1" si="27"/>
        <v>SAFE</v>
      </c>
      <c r="R243" s="30" t="str" cm="1">
        <f t="array" aca="1" ref="R243" ca="1">_xlfn.IFS(Q243="EXPIRED", "WRITE-OFF", Q243="WARNING", "FlASH SALE ", Q243="CRITICAL", "FEFO PRIORITY", Q243="SAFE", "REGULAR SALES")</f>
        <v>REGULAR SALES</v>
      </c>
    </row>
    <row r="244" spans="1:18" x14ac:dyDescent="0.25">
      <c r="A244" s="4" t="s">
        <v>267</v>
      </c>
      <c r="B244" s="4" t="s">
        <v>12</v>
      </c>
      <c r="C244" s="5" t="s">
        <v>13</v>
      </c>
      <c r="D244" s="23" t="s">
        <v>14</v>
      </c>
      <c r="E244" s="18">
        <v>45996</v>
      </c>
      <c r="F244" s="18">
        <v>46536</v>
      </c>
      <c r="G244" s="6">
        <v>1000</v>
      </c>
      <c r="H244" s="6">
        <f>SUMIF(Analysis_FEFO!$E$5:$E$174, A244, Analysis_FEFO!$G$5:$G$174)</f>
        <v>1000</v>
      </c>
      <c r="I244" s="6">
        <f t="shared" si="28"/>
        <v>0</v>
      </c>
      <c r="J244" s="7">
        <v>28000</v>
      </c>
      <c r="K244" s="7">
        <f t="shared" si="24"/>
        <v>28000000</v>
      </c>
      <c r="L244" s="7">
        <f t="shared" si="29"/>
        <v>28000000</v>
      </c>
      <c r="M244" s="48">
        <f t="shared" ca="1" si="25"/>
        <v>214</v>
      </c>
      <c r="N244" s="6" t="str">
        <f t="shared" ca="1" si="30"/>
        <v>SAFE</v>
      </c>
      <c r="O244" s="29">
        <f t="shared" si="26"/>
        <v>0</v>
      </c>
      <c r="P244" s="38">
        <f t="shared" ca="1" si="31"/>
        <v>0</v>
      </c>
      <c r="Q244" s="4" t="str">
        <f t="shared" ca="1" si="27"/>
        <v>SAFE</v>
      </c>
      <c r="R244" s="30" t="str" cm="1">
        <f t="array" aca="1" ref="R244" ca="1">_xlfn.IFS(Q244="EXPIRED", "WRITE-OFF", Q244="WARNING", "FlASH SALE ", Q244="CRITICAL", "FEFO PRIORITY", Q244="SAFE", "REGULAR SALES")</f>
        <v>REGULAR SALES</v>
      </c>
    </row>
    <row r="245" spans="1:18" x14ac:dyDescent="0.25">
      <c r="A245" s="8" t="s">
        <v>268</v>
      </c>
      <c r="B245" s="8" t="s">
        <v>8</v>
      </c>
      <c r="C245" s="9" t="s">
        <v>9</v>
      </c>
      <c r="D245" s="24" t="s">
        <v>10</v>
      </c>
      <c r="E245" s="19">
        <v>45839</v>
      </c>
      <c r="F245" s="19">
        <v>46373</v>
      </c>
      <c r="G245" s="10">
        <v>500</v>
      </c>
      <c r="H245" s="6">
        <f>SUMIF(Analysis_FEFO!$E$5:$E$174, A245, Analysis_FEFO!$G$5:$G$174)</f>
        <v>0</v>
      </c>
      <c r="I245" s="6">
        <f t="shared" si="28"/>
        <v>500</v>
      </c>
      <c r="J245" s="11">
        <v>36000</v>
      </c>
      <c r="K245" s="11">
        <f t="shared" si="24"/>
        <v>18000000</v>
      </c>
      <c r="L245" s="7">
        <f t="shared" si="29"/>
        <v>0</v>
      </c>
      <c r="M245" s="48">
        <f t="shared" ca="1" si="25"/>
        <v>51</v>
      </c>
      <c r="N245" s="6" t="str">
        <f t="shared" ca="1" si="30"/>
        <v>SAFE</v>
      </c>
      <c r="O245" s="29">
        <f t="shared" si="26"/>
        <v>18000000</v>
      </c>
      <c r="P245" s="38">
        <f t="shared" ca="1" si="31"/>
        <v>18000000</v>
      </c>
      <c r="Q245" s="8" t="str">
        <f t="shared" ca="1" si="27"/>
        <v>CRITICAL</v>
      </c>
      <c r="R245" s="30" t="str" cm="1">
        <f t="array" aca="1" ref="R245" ca="1">_xlfn.IFS(Q245="EXPIRED", "WRITE-OFF", Q245="WARNING", "FlASH SALE ", Q245="CRITICAL", "FEFO PRIORITY", Q245="SAFE", "REGULAR SALES")</f>
        <v>FEFO PRIORITY</v>
      </c>
    </row>
    <row r="246" spans="1:18" x14ac:dyDescent="0.25">
      <c r="A246" s="4" t="s">
        <v>269</v>
      </c>
      <c r="B246" s="4" t="s">
        <v>4</v>
      </c>
      <c r="C246" s="5" t="s">
        <v>5</v>
      </c>
      <c r="D246" s="23" t="s">
        <v>6</v>
      </c>
      <c r="E246" s="18">
        <v>45890</v>
      </c>
      <c r="F246" s="18">
        <v>46428</v>
      </c>
      <c r="G246" s="6">
        <v>500</v>
      </c>
      <c r="H246" s="6">
        <f>SUMIF(Analysis_FEFO!$E$5:$E$174, A246, Analysis_FEFO!$G$5:$G$174)</f>
        <v>0</v>
      </c>
      <c r="I246" s="6">
        <f t="shared" si="28"/>
        <v>500</v>
      </c>
      <c r="J246" s="7">
        <v>86000</v>
      </c>
      <c r="K246" s="7">
        <f t="shared" si="24"/>
        <v>43000000</v>
      </c>
      <c r="L246" s="7">
        <f t="shared" si="29"/>
        <v>0</v>
      </c>
      <c r="M246" s="48">
        <f t="shared" ca="1" si="25"/>
        <v>106</v>
      </c>
      <c r="N246" s="6" t="str">
        <f t="shared" ca="1" si="30"/>
        <v>SAFE</v>
      </c>
      <c r="O246" s="29">
        <f t="shared" si="26"/>
        <v>43000000</v>
      </c>
      <c r="P246" s="38">
        <f t="shared" ca="1" si="31"/>
        <v>0</v>
      </c>
      <c r="Q246" s="4" t="str">
        <f t="shared" ca="1" si="27"/>
        <v>WARNING</v>
      </c>
      <c r="R246" s="30" t="str" cm="1">
        <f t="array" aca="1" ref="R246" ca="1">_xlfn.IFS(Q246="EXPIRED", "WRITE-OFF", Q246="WARNING", "FlASH SALE ", Q246="CRITICAL", "FEFO PRIORITY", Q246="SAFE", "REGULAR SALES")</f>
        <v xml:space="preserve">FlASH SALE </v>
      </c>
    </row>
    <row r="247" spans="1:18" x14ac:dyDescent="0.25">
      <c r="A247" s="8" t="s">
        <v>270</v>
      </c>
      <c r="B247" s="8" t="s">
        <v>4</v>
      </c>
      <c r="C247" s="9" t="s">
        <v>5</v>
      </c>
      <c r="D247" s="24" t="s">
        <v>6</v>
      </c>
      <c r="E247" s="19">
        <v>46032</v>
      </c>
      <c r="F247" s="19">
        <v>46924</v>
      </c>
      <c r="G247" s="10">
        <v>1000</v>
      </c>
      <c r="H247" s="6">
        <f>SUMIF(Analysis_FEFO!$E$5:$E$174, A247, Analysis_FEFO!$G$5:$G$174)</f>
        <v>500</v>
      </c>
      <c r="I247" s="6">
        <f t="shared" si="28"/>
        <v>500</v>
      </c>
      <c r="J247" s="11">
        <v>75000</v>
      </c>
      <c r="K247" s="11">
        <f t="shared" si="24"/>
        <v>75000000</v>
      </c>
      <c r="L247" s="7">
        <f t="shared" si="29"/>
        <v>37500000</v>
      </c>
      <c r="M247" s="48">
        <f t="shared" ca="1" si="25"/>
        <v>602</v>
      </c>
      <c r="N247" s="6" t="str">
        <f t="shared" ca="1" si="30"/>
        <v>SAFE</v>
      </c>
      <c r="O247" s="29">
        <f t="shared" si="26"/>
        <v>37500000</v>
      </c>
      <c r="P247" s="38">
        <f t="shared" ca="1" si="31"/>
        <v>0</v>
      </c>
      <c r="Q247" s="8" t="str">
        <f t="shared" ca="1" si="27"/>
        <v>SAFE</v>
      </c>
      <c r="R247" s="30" t="str" cm="1">
        <f t="array" aca="1" ref="R247" ca="1">_xlfn.IFS(Q247="EXPIRED", "WRITE-OFF", Q247="WARNING", "FlASH SALE ", Q247="CRITICAL", "FEFO PRIORITY", Q247="SAFE", "REGULAR SALES")</f>
        <v>REGULAR SALES</v>
      </c>
    </row>
    <row r="248" spans="1:18" x14ac:dyDescent="0.25">
      <c r="A248" s="4" t="s">
        <v>271</v>
      </c>
      <c r="B248" s="4" t="s">
        <v>29</v>
      </c>
      <c r="C248" s="5" t="s">
        <v>30</v>
      </c>
      <c r="D248" s="23" t="s">
        <v>10</v>
      </c>
      <c r="E248" s="18">
        <v>46031</v>
      </c>
      <c r="F248" s="18">
        <v>46309</v>
      </c>
      <c r="G248" s="6">
        <v>500</v>
      </c>
      <c r="H248" s="6">
        <f>SUMIF(Analysis_FEFO!$E$5:$E$174, A248, Analysis_FEFO!$G$5:$G$174)</f>
        <v>0</v>
      </c>
      <c r="I248" s="6">
        <f t="shared" si="28"/>
        <v>500</v>
      </c>
      <c r="J248" s="7">
        <v>30000</v>
      </c>
      <c r="K248" s="7">
        <f t="shared" si="24"/>
        <v>15000000</v>
      </c>
      <c r="L248" s="7">
        <f t="shared" si="29"/>
        <v>0</v>
      </c>
      <c r="M248" s="48">
        <f t="shared" ca="1" si="25"/>
        <v>-13</v>
      </c>
      <c r="N248" s="6" t="str">
        <f t="shared" ca="1" si="30"/>
        <v>EXPIRED</v>
      </c>
      <c r="O248" s="29">
        <f t="shared" si="26"/>
        <v>15000000</v>
      </c>
      <c r="P248" s="38">
        <f t="shared" ca="1" si="31"/>
        <v>15000000</v>
      </c>
      <c r="Q248" s="4" t="str">
        <f t="shared" ca="1" si="27"/>
        <v>EXPIRED</v>
      </c>
      <c r="R248" s="30" t="str" cm="1">
        <f t="array" aca="1" ref="R248" ca="1">_xlfn.IFS(Q248="EXPIRED", "WRITE-OFF", Q248="WARNING", "FlASH SALE ", Q248="CRITICAL", "FEFO PRIORITY", Q248="SAFE", "REGULAR SALES")</f>
        <v>WRITE-OFF</v>
      </c>
    </row>
    <row r="249" spans="1:18" x14ac:dyDescent="0.25">
      <c r="A249" s="8" t="s">
        <v>272</v>
      </c>
      <c r="B249" s="8" t="s">
        <v>8</v>
      </c>
      <c r="C249" s="9" t="s">
        <v>9</v>
      </c>
      <c r="D249" s="24" t="s">
        <v>10</v>
      </c>
      <c r="E249" s="19">
        <v>45882</v>
      </c>
      <c r="F249" s="19">
        <v>46138</v>
      </c>
      <c r="G249" s="10">
        <v>250</v>
      </c>
      <c r="H249" s="6">
        <f>SUMIF(Analysis_FEFO!$E$5:$E$174, A249, Analysis_FEFO!$G$5:$G$174)</f>
        <v>250</v>
      </c>
      <c r="I249" s="6">
        <f t="shared" si="28"/>
        <v>0</v>
      </c>
      <c r="J249" s="11">
        <v>35000</v>
      </c>
      <c r="K249" s="11">
        <f t="shared" si="24"/>
        <v>8750000</v>
      </c>
      <c r="L249" s="7">
        <f t="shared" si="29"/>
        <v>8750000</v>
      </c>
      <c r="M249" s="48">
        <f t="shared" ca="1" si="25"/>
        <v>-184</v>
      </c>
      <c r="N249" s="6" t="str">
        <f t="shared" ca="1" si="30"/>
        <v>EXPIRED</v>
      </c>
      <c r="O249" s="29">
        <f t="shared" si="26"/>
        <v>0</v>
      </c>
      <c r="P249" s="38">
        <f t="shared" ca="1" si="31"/>
        <v>0</v>
      </c>
      <c r="Q249" s="8" t="str">
        <f t="shared" ca="1" si="27"/>
        <v>EXPIRED</v>
      </c>
      <c r="R249" s="30" t="str" cm="1">
        <f t="array" aca="1" ref="R249" ca="1">_xlfn.IFS(Q249="EXPIRED", "WRITE-OFF", Q249="WARNING", "FlASH SALE ", Q249="CRITICAL", "FEFO PRIORITY", Q249="SAFE", "REGULAR SALES")</f>
        <v>WRITE-OFF</v>
      </c>
    </row>
    <row r="250" spans="1:18" x14ac:dyDescent="0.25">
      <c r="A250" s="4" t="s">
        <v>273</v>
      </c>
      <c r="B250" s="4" t="s">
        <v>16</v>
      </c>
      <c r="C250" s="5" t="s">
        <v>17</v>
      </c>
      <c r="D250" s="23" t="s">
        <v>6</v>
      </c>
      <c r="E250" s="18">
        <v>46086</v>
      </c>
      <c r="F250" s="18">
        <v>46794</v>
      </c>
      <c r="G250" s="6">
        <v>100</v>
      </c>
      <c r="H250" s="6">
        <f>SUMIF(Analysis_FEFO!$E$5:$E$174, A250, Analysis_FEFO!$G$5:$G$174)</f>
        <v>0</v>
      </c>
      <c r="I250" s="6">
        <f t="shared" si="28"/>
        <v>100</v>
      </c>
      <c r="J250" s="7">
        <v>70000</v>
      </c>
      <c r="K250" s="7">
        <f t="shared" si="24"/>
        <v>7000000</v>
      </c>
      <c r="L250" s="7">
        <f t="shared" si="29"/>
        <v>0</v>
      </c>
      <c r="M250" s="48">
        <f t="shared" ca="1" si="25"/>
        <v>472</v>
      </c>
      <c r="N250" s="6" t="str">
        <f t="shared" ca="1" si="30"/>
        <v>SAFE</v>
      </c>
      <c r="O250" s="29">
        <f t="shared" si="26"/>
        <v>7000000</v>
      </c>
      <c r="P250" s="38">
        <f t="shared" ca="1" si="31"/>
        <v>0</v>
      </c>
      <c r="Q250" s="4" t="str">
        <f t="shared" ca="1" si="27"/>
        <v>SAFE</v>
      </c>
      <c r="R250" s="30" t="str" cm="1">
        <f t="array" aca="1" ref="R250" ca="1">_xlfn.IFS(Q250="EXPIRED", "WRITE-OFF", Q250="WARNING", "FlASH SALE ", Q250="CRITICAL", "FEFO PRIORITY", Q250="SAFE", "REGULAR SALES")</f>
        <v>REGULAR SALES</v>
      </c>
    </row>
    <row r="251" spans="1:18" x14ac:dyDescent="0.25">
      <c r="A251" s="8" t="s">
        <v>274</v>
      </c>
      <c r="B251" s="8" t="s">
        <v>19</v>
      </c>
      <c r="C251" s="9" t="s">
        <v>20</v>
      </c>
      <c r="D251" s="24" t="s">
        <v>21</v>
      </c>
      <c r="E251" s="19">
        <v>45820</v>
      </c>
      <c r="F251" s="19">
        <v>45964</v>
      </c>
      <c r="G251" s="10">
        <v>250</v>
      </c>
      <c r="H251" s="6">
        <f>SUMIF(Analysis_FEFO!$E$5:$E$174, A251, Analysis_FEFO!$G$5:$G$174)</f>
        <v>250</v>
      </c>
      <c r="I251" s="6">
        <f t="shared" si="28"/>
        <v>0</v>
      </c>
      <c r="J251" s="11">
        <v>50000</v>
      </c>
      <c r="K251" s="11">
        <f t="shared" si="24"/>
        <v>12500000</v>
      </c>
      <c r="L251" s="7">
        <f t="shared" si="29"/>
        <v>12500000</v>
      </c>
      <c r="M251" s="48">
        <f t="shared" ca="1" si="25"/>
        <v>-358</v>
      </c>
      <c r="N251" s="6" t="str">
        <f t="shared" ca="1" si="30"/>
        <v>EXPIRED</v>
      </c>
      <c r="O251" s="29">
        <f t="shared" si="26"/>
        <v>0</v>
      </c>
      <c r="P251" s="38">
        <f t="shared" ca="1" si="31"/>
        <v>0</v>
      </c>
      <c r="Q251" s="8" t="str">
        <f t="shared" ca="1" si="27"/>
        <v>EXPIRED</v>
      </c>
      <c r="R251" s="30" t="str" cm="1">
        <f t="array" aca="1" ref="R251" ca="1">_xlfn.IFS(Q251="EXPIRED", "WRITE-OFF", Q251="WARNING", "FlASH SALE ", Q251="CRITICAL", "FEFO PRIORITY", Q251="SAFE", "REGULAR SALES")</f>
        <v>WRITE-OFF</v>
      </c>
    </row>
    <row r="252" spans="1:18" x14ac:dyDescent="0.25">
      <c r="A252" s="4" t="s">
        <v>275</v>
      </c>
      <c r="B252" s="4" t="s">
        <v>33</v>
      </c>
      <c r="C252" s="5" t="s">
        <v>34</v>
      </c>
      <c r="D252" s="23" t="s">
        <v>35</v>
      </c>
      <c r="E252" s="18">
        <v>45928</v>
      </c>
      <c r="F252" s="18">
        <v>46020</v>
      </c>
      <c r="G252" s="6">
        <v>1000</v>
      </c>
      <c r="H252" s="6">
        <f>SUMIF(Analysis_FEFO!$E$5:$E$174, A252, Analysis_FEFO!$G$5:$G$174)</f>
        <v>1000</v>
      </c>
      <c r="I252" s="6">
        <f t="shared" si="28"/>
        <v>0</v>
      </c>
      <c r="J252" s="7">
        <v>55000</v>
      </c>
      <c r="K252" s="7">
        <f t="shared" si="24"/>
        <v>55000000</v>
      </c>
      <c r="L252" s="7">
        <f t="shared" si="29"/>
        <v>55000000</v>
      </c>
      <c r="M252" s="48">
        <f t="shared" ca="1" si="25"/>
        <v>-302</v>
      </c>
      <c r="N252" s="6" t="str">
        <f t="shared" ca="1" si="30"/>
        <v>EXPIRED</v>
      </c>
      <c r="O252" s="29">
        <f t="shared" si="26"/>
        <v>0</v>
      </c>
      <c r="P252" s="38">
        <f t="shared" ca="1" si="31"/>
        <v>0</v>
      </c>
      <c r="Q252" s="4" t="str">
        <f t="shared" ca="1" si="27"/>
        <v>EXPIRED</v>
      </c>
      <c r="R252" s="30" t="str" cm="1">
        <f t="array" aca="1" ref="R252" ca="1">_xlfn.IFS(Q252="EXPIRED", "WRITE-OFF", Q252="WARNING", "FlASH SALE ", Q252="CRITICAL", "FEFO PRIORITY", Q252="SAFE", "REGULAR SALES")</f>
        <v>WRITE-OFF</v>
      </c>
    </row>
    <row r="253" spans="1:18" x14ac:dyDescent="0.25">
      <c r="A253" s="8" t="s">
        <v>276</v>
      </c>
      <c r="B253" s="8" t="s">
        <v>8</v>
      </c>
      <c r="C253" s="9" t="s">
        <v>9</v>
      </c>
      <c r="D253" s="24" t="s">
        <v>10</v>
      </c>
      <c r="E253" s="19">
        <v>45815</v>
      </c>
      <c r="F253" s="19">
        <v>45950</v>
      </c>
      <c r="G253" s="10">
        <v>250</v>
      </c>
      <c r="H253" s="6">
        <f>SUMIF(Analysis_FEFO!$E$5:$E$174, A253, Analysis_FEFO!$G$5:$G$174)</f>
        <v>250</v>
      </c>
      <c r="I253" s="6">
        <f t="shared" si="28"/>
        <v>0</v>
      </c>
      <c r="J253" s="11">
        <v>38000</v>
      </c>
      <c r="K253" s="11">
        <f t="shared" si="24"/>
        <v>9500000</v>
      </c>
      <c r="L253" s="7">
        <f t="shared" si="29"/>
        <v>9500000</v>
      </c>
      <c r="M253" s="48">
        <f t="shared" ca="1" si="25"/>
        <v>-372</v>
      </c>
      <c r="N253" s="6" t="str">
        <f t="shared" ca="1" si="30"/>
        <v>EXPIRED</v>
      </c>
      <c r="O253" s="29">
        <f t="shared" si="26"/>
        <v>0</v>
      </c>
      <c r="P253" s="38">
        <f t="shared" ca="1" si="31"/>
        <v>0</v>
      </c>
      <c r="Q253" s="8" t="str">
        <f t="shared" ca="1" si="27"/>
        <v>EXPIRED</v>
      </c>
      <c r="R253" s="30" t="str" cm="1">
        <f t="array" aca="1" ref="R253" ca="1">_xlfn.IFS(Q253="EXPIRED", "WRITE-OFF", Q253="WARNING", "FlASH SALE ", Q253="CRITICAL", "FEFO PRIORITY", Q253="SAFE", "REGULAR SALES")</f>
        <v>WRITE-OFF</v>
      </c>
    </row>
    <row r="254" spans="1:18" x14ac:dyDescent="0.25">
      <c r="A254" s="4" t="s">
        <v>277</v>
      </c>
      <c r="B254" s="4" t="s">
        <v>8</v>
      </c>
      <c r="C254" s="5" t="s">
        <v>9</v>
      </c>
      <c r="D254" s="23" t="s">
        <v>10</v>
      </c>
      <c r="E254" s="18">
        <v>45866</v>
      </c>
      <c r="F254" s="18">
        <v>45942</v>
      </c>
      <c r="G254" s="6">
        <v>200</v>
      </c>
      <c r="H254" s="6">
        <f>SUMIF(Analysis_FEFO!$E$5:$E$174, A254, Analysis_FEFO!$G$5:$G$174)</f>
        <v>200</v>
      </c>
      <c r="I254" s="6">
        <f t="shared" si="28"/>
        <v>0</v>
      </c>
      <c r="J254" s="7">
        <v>36000</v>
      </c>
      <c r="K254" s="7">
        <f t="shared" si="24"/>
        <v>7200000</v>
      </c>
      <c r="L254" s="7">
        <f t="shared" si="29"/>
        <v>7200000</v>
      </c>
      <c r="M254" s="48">
        <f t="shared" ca="1" si="25"/>
        <v>-380</v>
      </c>
      <c r="N254" s="6" t="str">
        <f t="shared" ca="1" si="30"/>
        <v>EXPIRED</v>
      </c>
      <c r="O254" s="29">
        <f t="shared" si="26"/>
        <v>0</v>
      </c>
      <c r="P254" s="38">
        <f t="shared" ca="1" si="31"/>
        <v>0</v>
      </c>
      <c r="Q254" s="4" t="str">
        <f t="shared" ca="1" si="27"/>
        <v>EXPIRED</v>
      </c>
      <c r="R254" s="30" t="str" cm="1">
        <f t="array" aca="1" ref="R254" ca="1">_xlfn.IFS(Q254="EXPIRED", "WRITE-OFF", Q254="WARNING", "FlASH SALE ", Q254="CRITICAL", "FEFO PRIORITY", Q254="SAFE", "REGULAR SALES")</f>
        <v>WRITE-OFF</v>
      </c>
    </row>
    <row r="255" spans="1:18" x14ac:dyDescent="0.25">
      <c r="A255" s="8" t="s">
        <v>278</v>
      </c>
      <c r="B255" s="8" t="s">
        <v>53</v>
      </c>
      <c r="C255" s="9" t="s">
        <v>54</v>
      </c>
      <c r="D255" s="24" t="s">
        <v>35</v>
      </c>
      <c r="E255" s="19">
        <v>45907</v>
      </c>
      <c r="F255" s="19">
        <v>46168</v>
      </c>
      <c r="G255" s="10">
        <v>300</v>
      </c>
      <c r="H255" s="6">
        <f>SUMIF(Analysis_FEFO!$E$5:$E$174, A255, Analysis_FEFO!$G$5:$G$174)</f>
        <v>300</v>
      </c>
      <c r="I255" s="6">
        <f t="shared" si="28"/>
        <v>0</v>
      </c>
      <c r="J255" s="11">
        <v>58000</v>
      </c>
      <c r="K255" s="11">
        <f t="shared" si="24"/>
        <v>17400000</v>
      </c>
      <c r="L255" s="7">
        <f t="shared" si="29"/>
        <v>17400000</v>
      </c>
      <c r="M255" s="48">
        <f t="shared" ca="1" si="25"/>
        <v>-154</v>
      </c>
      <c r="N255" s="6" t="str">
        <f t="shared" ca="1" si="30"/>
        <v>EXPIRED</v>
      </c>
      <c r="O255" s="29">
        <f t="shared" si="26"/>
        <v>0</v>
      </c>
      <c r="P255" s="38">
        <f t="shared" ca="1" si="31"/>
        <v>0</v>
      </c>
      <c r="Q255" s="8" t="str">
        <f t="shared" ca="1" si="27"/>
        <v>EXPIRED</v>
      </c>
      <c r="R255" s="30" t="str" cm="1">
        <f t="array" aca="1" ref="R255" ca="1">_xlfn.IFS(Q255="EXPIRED", "WRITE-OFF", Q255="WARNING", "FlASH SALE ", Q255="CRITICAL", "FEFO PRIORITY", Q255="SAFE", "REGULAR SALES")</f>
        <v>WRITE-OFF</v>
      </c>
    </row>
    <row r="256" spans="1:18" x14ac:dyDescent="0.25">
      <c r="A256" s="4" t="s">
        <v>279</v>
      </c>
      <c r="B256" s="4" t="s">
        <v>53</v>
      </c>
      <c r="C256" s="5" t="s">
        <v>54</v>
      </c>
      <c r="D256" s="23" t="s">
        <v>35</v>
      </c>
      <c r="E256" s="18">
        <v>46096</v>
      </c>
      <c r="F256" s="18">
        <v>46244</v>
      </c>
      <c r="G256" s="6">
        <v>200</v>
      </c>
      <c r="H256" s="6">
        <f>SUMIF(Analysis_FEFO!$E$5:$E$174, A256, Analysis_FEFO!$G$5:$G$174)</f>
        <v>200</v>
      </c>
      <c r="I256" s="6">
        <f t="shared" si="28"/>
        <v>0</v>
      </c>
      <c r="J256" s="7">
        <v>58000</v>
      </c>
      <c r="K256" s="7">
        <f t="shared" si="24"/>
        <v>11600000</v>
      </c>
      <c r="L256" s="7">
        <f t="shared" si="29"/>
        <v>11600000</v>
      </c>
      <c r="M256" s="48">
        <f t="shared" ca="1" si="25"/>
        <v>-78</v>
      </c>
      <c r="N256" s="6" t="str">
        <f t="shared" ca="1" si="30"/>
        <v>EXPIRED</v>
      </c>
      <c r="O256" s="29">
        <f t="shared" si="26"/>
        <v>0</v>
      </c>
      <c r="P256" s="38">
        <f t="shared" ca="1" si="31"/>
        <v>0</v>
      </c>
      <c r="Q256" s="4" t="str">
        <f t="shared" ca="1" si="27"/>
        <v>EXPIRED</v>
      </c>
      <c r="R256" s="30" t="str" cm="1">
        <f t="array" aca="1" ref="R256" ca="1">_xlfn.IFS(Q256="EXPIRED", "WRITE-OFF", Q256="WARNING", "FlASH SALE ", Q256="CRITICAL", "FEFO PRIORITY", Q256="SAFE", "REGULAR SALES")</f>
        <v>WRITE-OFF</v>
      </c>
    </row>
    <row r="257" spans="1:18" x14ac:dyDescent="0.25">
      <c r="A257" s="8" t="s">
        <v>280</v>
      </c>
      <c r="B257" s="8" t="s">
        <v>8</v>
      </c>
      <c r="C257" s="9" t="s">
        <v>9</v>
      </c>
      <c r="D257" s="24" t="s">
        <v>10</v>
      </c>
      <c r="E257" s="19">
        <v>46044</v>
      </c>
      <c r="F257" s="19">
        <v>46147</v>
      </c>
      <c r="G257" s="10">
        <v>750</v>
      </c>
      <c r="H257" s="6">
        <f>SUMIF(Analysis_FEFO!$E$5:$E$174, A257, Analysis_FEFO!$G$5:$G$174)</f>
        <v>0</v>
      </c>
      <c r="I257" s="6">
        <f t="shared" si="28"/>
        <v>750</v>
      </c>
      <c r="J257" s="11">
        <v>36000</v>
      </c>
      <c r="K257" s="11">
        <f t="shared" si="24"/>
        <v>27000000</v>
      </c>
      <c r="L257" s="7">
        <f t="shared" si="29"/>
        <v>0</v>
      </c>
      <c r="M257" s="48">
        <f t="shared" ca="1" si="25"/>
        <v>-175</v>
      </c>
      <c r="N257" s="6" t="str">
        <f t="shared" ca="1" si="30"/>
        <v>EXPIRED</v>
      </c>
      <c r="O257" s="29">
        <f t="shared" si="26"/>
        <v>27000000</v>
      </c>
      <c r="P257" s="38">
        <f t="shared" ca="1" si="31"/>
        <v>27000000</v>
      </c>
      <c r="Q257" s="8" t="str">
        <f t="shared" ca="1" si="27"/>
        <v>EXPIRED</v>
      </c>
      <c r="R257" s="30" t="str" cm="1">
        <f t="array" aca="1" ref="R257" ca="1">_xlfn.IFS(Q257="EXPIRED", "WRITE-OFF", Q257="WARNING", "FlASH SALE ", Q257="CRITICAL", "FEFO PRIORITY", Q257="SAFE", "REGULAR SALES")</f>
        <v>WRITE-OFF</v>
      </c>
    </row>
    <row r="258" spans="1:18" x14ac:dyDescent="0.25">
      <c r="A258" s="4" t="s">
        <v>281</v>
      </c>
      <c r="B258" s="4" t="s">
        <v>53</v>
      </c>
      <c r="C258" s="5" t="s">
        <v>54</v>
      </c>
      <c r="D258" s="23" t="s">
        <v>35</v>
      </c>
      <c r="E258" s="18">
        <v>46070</v>
      </c>
      <c r="F258" s="18">
        <v>46599</v>
      </c>
      <c r="G258" s="6">
        <v>1000</v>
      </c>
      <c r="H258" s="6">
        <f>SUMIF(Analysis_FEFO!$E$5:$E$174, A258, Analysis_FEFO!$G$5:$G$174)</f>
        <v>0</v>
      </c>
      <c r="I258" s="6">
        <f t="shared" si="28"/>
        <v>1000</v>
      </c>
      <c r="J258" s="7">
        <v>48000</v>
      </c>
      <c r="K258" s="7">
        <f t="shared" si="24"/>
        <v>48000000</v>
      </c>
      <c r="L258" s="7">
        <f t="shared" si="29"/>
        <v>0</v>
      </c>
      <c r="M258" s="48">
        <f t="shared" ca="1" si="25"/>
        <v>277</v>
      </c>
      <c r="N258" s="6" t="str">
        <f t="shared" ca="1" si="30"/>
        <v>SAFE</v>
      </c>
      <c r="O258" s="29">
        <f t="shared" si="26"/>
        <v>48000000</v>
      </c>
      <c r="P258" s="38">
        <f t="shared" ca="1" si="31"/>
        <v>0</v>
      </c>
      <c r="Q258" s="4" t="str">
        <f t="shared" ca="1" si="27"/>
        <v>SAFE</v>
      </c>
      <c r="R258" s="30" t="str" cm="1">
        <f t="array" aca="1" ref="R258" ca="1">_xlfn.IFS(Q258="EXPIRED", "WRITE-OFF", Q258="WARNING", "FlASH SALE ", Q258="CRITICAL", "FEFO PRIORITY", Q258="SAFE", "REGULAR SALES")</f>
        <v>REGULAR SALES</v>
      </c>
    </row>
    <row r="259" spans="1:18" x14ac:dyDescent="0.25">
      <c r="A259" s="8" t="s">
        <v>282</v>
      </c>
      <c r="B259" s="8" t="s">
        <v>33</v>
      </c>
      <c r="C259" s="9" t="s">
        <v>34</v>
      </c>
      <c r="D259" s="24" t="s">
        <v>35</v>
      </c>
      <c r="E259" s="19">
        <v>45823</v>
      </c>
      <c r="F259" s="19">
        <v>46170</v>
      </c>
      <c r="G259" s="10">
        <v>100</v>
      </c>
      <c r="H259" s="6">
        <f>SUMIF(Analysis_FEFO!$E$5:$E$174, A259, Analysis_FEFO!$G$5:$G$174)</f>
        <v>0</v>
      </c>
      <c r="I259" s="6">
        <f t="shared" si="28"/>
        <v>100</v>
      </c>
      <c r="J259" s="11">
        <v>60000</v>
      </c>
      <c r="K259" s="11">
        <f t="shared" si="24"/>
        <v>6000000</v>
      </c>
      <c r="L259" s="7">
        <f t="shared" si="29"/>
        <v>0</v>
      </c>
      <c r="M259" s="48">
        <f t="shared" ca="1" si="25"/>
        <v>-152</v>
      </c>
      <c r="N259" s="6" t="str">
        <f t="shared" ca="1" si="30"/>
        <v>EXPIRED</v>
      </c>
      <c r="O259" s="29">
        <f t="shared" si="26"/>
        <v>6000000</v>
      </c>
      <c r="P259" s="38">
        <f t="shared" ca="1" si="31"/>
        <v>6000000</v>
      </c>
      <c r="Q259" s="8" t="str">
        <f t="shared" ca="1" si="27"/>
        <v>EXPIRED</v>
      </c>
      <c r="R259" s="30" t="str" cm="1">
        <f t="array" aca="1" ref="R259" ca="1">_xlfn.IFS(Q259="EXPIRED", "WRITE-OFF", Q259="WARNING", "FlASH SALE ", Q259="CRITICAL", "FEFO PRIORITY", Q259="SAFE", "REGULAR SALES")</f>
        <v>WRITE-OFF</v>
      </c>
    </row>
    <row r="260" spans="1:18" x14ac:dyDescent="0.25">
      <c r="A260" s="4" t="s">
        <v>283</v>
      </c>
      <c r="B260" s="4" t="s">
        <v>29</v>
      </c>
      <c r="C260" s="5" t="s">
        <v>30</v>
      </c>
      <c r="D260" s="23" t="s">
        <v>10</v>
      </c>
      <c r="E260" s="18">
        <v>45820</v>
      </c>
      <c r="F260" s="18">
        <v>46541</v>
      </c>
      <c r="G260" s="6">
        <v>250</v>
      </c>
      <c r="H260" s="6">
        <f>SUMIF(Analysis_FEFO!$E$5:$E$174, A260, Analysis_FEFO!$G$5:$G$174)</f>
        <v>0</v>
      </c>
      <c r="I260" s="6">
        <f t="shared" si="28"/>
        <v>250</v>
      </c>
      <c r="J260" s="7">
        <v>28000</v>
      </c>
      <c r="K260" s="7">
        <f t="shared" si="24"/>
        <v>7000000</v>
      </c>
      <c r="L260" s="7">
        <f t="shared" si="29"/>
        <v>0</v>
      </c>
      <c r="M260" s="48">
        <f t="shared" ca="1" si="25"/>
        <v>219</v>
      </c>
      <c r="N260" s="6" t="str">
        <f t="shared" ca="1" si="30"/>
        <v>SAFE</v>
      </c>
      <c r="O260" s="29">
        <f t="shared" si="26"/>
        <v>7000000</v>
      </c>
      <c r="P260" s="38">
        <f t="shared" ca="1" si="31"/>
        <v>0</v>
      </c>
      <c r="Q260" s="4" t="str">
        <f t="shared" ca="1" si="27"/>
        <v>SAFE</v>
      </c>
      <c r="R260" s="30" t="str" cm="1">
        <f t="array" aca="1" ref="R260" ca="1">_xlfn.IFS(Q260="EXPIRED", "WRITE-OFF", Q260="WARNING", "FlASH SALE ", Q260="CRITICAL", "FEFO PRIORITY", Q260="SAFE", "REGULAR SALES")</f>
        <v>REGULAR SALES</v>
      </c>
    </row>
    <row r="261" spans="1:18" x14ac:dyDescent="0.25">
      <c r="A261" s="8" t="s">
        <v>284</v>
      </c>
      <c r="B261" s="8" t="s">
        <v>45</v>
      </c>
      <c r="C261" s="9" t="s">
        <v>46</v>
      </c>
      <c r="D261" s="24" t="s">
        <v>14</v>
      </c>
      <c r="E261" s="19">
        <v>45953</v>
      </c>
      <c r="F261" s="19">
        <v>46460</v>
      </c>
      <c r="G261" s="10">
        <v>500</v>
      </c>
      <c r="H261" s="6">
        <f>SUMIF(Analysis_FEFO!$E$5:$E$174, A261, Analysis_FEFO!$G$5:$G$174)</f>
        <v>500</v>
      </c>
      <c r="I261" s="6">
        <f t="shared" si="28"/>
        <v>0</v>
      </c>
      <c r="J261" s="11">
        <v>98000</v>
      </c>
      <c r="K261" s="11">
        <f t="shared" si="24"/>
        <v>49000000</v>
      </c>
      <c r="L261" s="7">
        <f t="shared" si="29"/>
        <v>49000000</v>
      </c>
      <c r="M261" s="48">
        <f t="shared" ca="1" si="25"/>
        <v>138</v>
      </c>
      <c r="N261" s="6" t="str">
        <f t="shared" ca="1" si="30"/>
        <v>SAFE</v>
      </c>
      <c r="O261" s="29">
        <f t="shared" si="26"/>
        <v>0</v>
      </c>
      <c r="P261" s="38">
        <f t="shared" ca="1" si="31"/>
        <v>0</v>
      </c>
      <c r="Q261" s="8" t="str">
        <f t="shared" ca="1" si="27"/>
        <v>WARNING</v>
      </c>
      <c r="R261" s="30" t="str" cm="1">
        <f t="array" aca="1" ref="R261" ca="1">_xlfn.IFS(Q261="EXPIRED", "WRITE-OFF", Q261="WARNING", "FlASH SALE ", Q261="CRITICAL", "FEFO PRIORITY", Q261="SAFE", "REGULAR SALES")</f>
        <v xml:space="preserve">FlASH SALE </v>
      </c>
    </row>
    <row r="262" spans="1:18" x14ac:dyDescent="0.25">
      <c r="A262" s="4" t="s">
        <v>285</v>
      </c>
      <c r="B262" s="4" t="s">
        <v>25</v>
      </c>
      <c r="C262" s="5" t="s">
        <v>26</v>
      </c>
      <c r="D262" s="23" t="s">
        <v>27</v>
      </c>
      <c r="E262" s="18">
        <v>46007</v>
      </c>
      <c r="F262" s="18">
        <v>46363</v>
      </c>
      <c r="G262" s="6">
        <v>100</v>
      </c>
      <c r="H262" s="6">
        <f>SUMIF(Analysis_FEFO!$E$5:$E$174, A262, Analysis_FEFO!$G$5:$G$174)</f>
        <v>0</v>
      </c>
      <c r="I262" s="6">
        <f t="shared" si="28"/>
        <v>100</v>
      </c>
      <c r="J262" s="7">
        <v>64000</v>
      </c>
      <c r="K262" s="7">
        <f t="shared" ref="K262:K325" si="32">G262*J262</f>
        <v>6400000</v>
      </c>
      <c r="L262" s="7">
        <f t="shared" si="29"/>
        <v>0</v>
      </c>
      <c r="M262" s="48">
        <f t="shared" ref="M262:M325" ca="1" si="33">F262-TODAY()</f>
        <v>41</v>
      </c>
      <c r="N262" s="6" t="str">
        <f t="shared" ca="1" si="30"/>
        <v>SAFE</v>
      </c>
      <c r="O262" s="29">
        <f t="shared" ref="O262:O325" si="34">I262*J262</f>
        <v>6400000</v>
      </c>
      <c r="P262" s="38">
        <f t="shared" ca="1" si="31"/>
        <v>6400000</v>
      </c>
      <c r="Q262" s="4" t="str">
        <f t="shared" ref="Q262:Q325" ca="1" si="35">IF(M262&lt;0, "EXPIRED", IF(M262&lt;=60, "CRITICAL", IF(M262&lt;=180, "WARNING", "SAFE")))</f>
        <v>CRITICAL</v>
      </c>
      <c r="R262" s="30" t="str" cm="1">
        <f t="array" aca="1" ref="R262" ca="1">_xlfn.IFS(Q262="EXPIRED", "WRITE-OFF", Q262="WARNING", "FlASH SALE ", Q262="CRITICAL", "FEFO PRIORITY", Q262="SAFE", "REGULAR SALES")</f>
        <v>FEFO PRIORITY</v>
      </c>
    </row>
    <row r="263" spans="1:18" x14ac:dyDescent="0.25">
      <c r="A263" s="8" t="s">
        <v>286</v>
      </c>
      <c r="B263" s="8" t="s">
        <v>8</v>
      </c>
      <c r="C263" s="9" t="s">
        <v>9</v>
      </c>
      <c r="D263" s="24" t="s">
        <v>10</v>
      </c>
      <c r="E263" s="19">
        <v>45854</v>
      </c>
      <c r="F263" s="19">
        <v>46503</v>
      </c>
      <c r="G263" s="10">
        <v>200</v>
      </c>
      <c r="H263" s="6">
        <f>SUMIF(Analysis_FEFO!$E$5:$E$174, A263, Analysis_FEFO!$G$5:$G$174)</f>
        <v>150</v>
      </c>
      <c r="I263" s="6">
        <f t="shared" ref="I263:I325" si="36">G263-H263</f>
        <v>50</v>
      </c>
      <c r="J263" s="11">
        <v>32000</v>
      </c>
      <c r="K263" s="11">
        <f t="shared" si="32"/>
        <v>6400000</v>
      </c>
      <c r="L263" s="7">
        <f t="shared" ref="L263:L325" si="37">H263*J263</f>
        <v>4800000</v>
      </c>
      <c r="M263" s="48">
        <f t="shared" ca="1" si="33"/>
        <v>181</v>
      </c>
      <c r="N263" s="6" t="str">
        <f t="shared" ref="N263:N325" ca="1" si="38">IF(M263&lt;=0, "EXPIRED", IF(M263&lt;=30, "EXPIRING SOON (&lt;30 DAYS)", "SAFE"))</f>
        <v>SAFE</v>
      </c>
      <c r="O263" s="29">
        <f t="shared" si="34"/>
        <v>1600000</v>
      </c>
      <c r="P263" s="38">
        <f t="shared" ref="P263:P325" ca="1" si="39">IF(OR(Q263="CRITICAL", Q263="EXPIRED"), O263, 0)</f>
        <v>0</v>
      </c>
      <c r="Q263" s="8" t="str">
        <f t="shared" ca="1" si="35"/>
        <v>SAFE</v>
      </c>
      <c r="R263" s="30" t="str" cm="1">
        <f t="array" aca="1" ref="R263" ca="1">_xlfn.IFS(Q263="EXPIRED", "WRITE-OFF", Q263="WARNING", "FlASH SALE ", Q263="CRITICAL", "FEFO PRIORITY", Q263="SAFE", "REGULAR SALES")</f>
        <v>REGULAR SALES</v>
      </c>
    </row>
    <row r="264" spans="1:18" x14ac:dyDescent="0.25">
      <c r="A264" s="4" t="s">
        <v>287</v>
      </c>
      <c r="B264" s="4" t="s">
        <v>53</v>
      </c>
      <c r="C264" s="5" t="s">
        <v>54</v>
      </c>
      <c r="D264" s="23" t="s">
        <v>35</v>
      </c>
      <c r="E264" s="18">
        <v>46036</v>
      </c>
      <c r="F264" s="18">
        <v>46396</v>
      </c>
      <c r="G264" s="6">
        <v>250</v>
      </c>
      <c r="H264" s="6">
        <f>SUMIF(Analysis_FEFO!$E$5:$E$174, A264, Analysis_FEFO!$G$5:$G$174)</f>
        <v>0</v>
      </c>
      <c r="I264" s="6">
        <f t="shared" si="36"/>
        <v>250</v>
      </c>
      <c r="J264" s="7">
        <v>53000</v>
      </c>
      <c r="K264" s="7">
        <f t="shared" si="32"/>
        <v>13250000</v>
      </c>
      <c r="L264" s="7">
        <f t="shared" si="37"/>
        <v>0</v>
      </c>
      <c r="M264" s="48">
        <f t="shared" ca="1" si="33"/>
        <v>74</v>
      </c>
      <c r="N264" s="6" t="str">
        <f t="shared" ca="1" si="38"/>
        <v>SAFE</v>
      </c>
      <c r="O264" s="29">
        <f t="shared" si="34"/>
        <v>13250000</v>
      </c>
      <c r="P264" s="38">
        <f t="shared" ca="1" si="39"/>
        <v>0</v>
      </c>
      <c r="Q264" s="4" t="str">
        <f t="shared" ca="1" si="35"/>
        <v>WARNING</v>
      </c>
      <c r="R264" s="30" t="str" cm="1">
        <f t="array" aca="1" ref="R264" ca="1">_xlfn.IFS(Q264="EXPIRED", "WRITE-OFF", Q264="WARNING", "FlASH SALE ", Q264="CRITICAL", "FEFO PRIORITY", Q264="SAFE", "REGULAR SALES")</f>
        <v xml:space="preserve">FlASH SALE </v>
      </c>
    </row>
    <row r="265" spans="1:18" x14ac:dyDescent="0.25">
      <c r="A265" s="8" t="s">
        <v>288</v>
      </c>
      <c r="B265" s="8" t="s">
        <v>12</v>
      </c>
      <c r="C265" s="9" t="s">
        <v>13</v>
      </c>
      <c r="D265" s="24" t="s">
        <v>14</v>
      </c>
      <c r="E265" s="19">
        <v>45925</v>
      </c>
      <c r="F265" s="19">
        <v>46642</v>
      </c>
      <c r="G265" s="10">
        <v>250</v>
      </c>
      <c r="H265" s="6">
        <f>SUMIF(Analysis_FEFO!$E$5:$E$174, A265, Analysis_FEFO!$G$5:$G$174)</f>
        <v>0</v>
      </c>
      <c r="I265" s="6">
        <f t="shared" si="36"/>
        <v>250</v>
      </c>
      <c r="J265" s="11">
        <v>32000</v>
      </c>
      <c r="K265" s="11">
        <f t="shared" si="32"/>
        <v>8000000</v>
      </c>
      <c r="L265" s="7">
        <f t="shared" si="37"/>
        <v>0</v>
      </c>
      <c r="M265" s="48">
        <f t="shared" ca="1" si="33"/>
        <v>320</v>
      </c>
      <c r="N265" s="6" t="str">
        <f t="shared" ca="1" si="38"/>
        <v>SAFE</v>
      </c>
      <c r="O265" s="29">
        <f t="shared" si="34"/>
        <v>8000000</v>
      </c>
      <c r="P265" s="38">
        <f t="shared" ca="1" si="39"/>
        <v>0</v>
      </c>
      <c r="Q265" s="8" t="str">
        <f t="shared" ca="1" si="35"/>
        <v>SAFE</v>
      </c>
      <c r="R265" s="30" t="str" cm="1">
        <f t="array" aca="1" ref="R265" ca="1">_xlfn.IFS(Q265="EXPIRED", "WRITE-OFF", Q265="WARNING", "FlASH SALE ", Q265="CRITICAL", "FEFO PRIORITY", Q265="SAFE", "REGULAR SALES")</f>
        <v>REGULAR SALES</v>
      </c>
    </row>
    <row r="266" spans="1:18" x14ac:dyDescent="0.25">
      <c r="A266" s="4" t="s">
        <v>289</v>
      </c>
      <c r="B266" s="4" t="s">
        <v>19</v>
      </c>
      <c r="C266" s="5" t="s">
        <v>20</v>
      </c>
      <c r="D266" s="23" t="s">
        <v>21</v>
      </c>
      <c r="E266" s="18">
        <v>45880</v>
      </c>
      <c r="F266" s="18">
        <v>46529</v>
      </c>
      <c r="G266" s="6">
        <v>250</v>
      </c>
      <c r="H266" s="6">
        <f>SUMIF(Analysis_FEFO!$E$5:$E$174, A266, Analysis_FEFO!$G$5:$G$174)</f>
        <v>0</v>
      </c>
      <c r="I266" s="6">
        <f t="shared" si="36"/>
        <v>250</v>
      </c>
      <c r="J266" s="7">
        <v>50000</v>
      </c>
      <c r="K266" s="7">
        <f t="shared" si="32"/>
        <v>12500000</v>
      </c>
      <c r="L266" s="7">
        <f t="shared" si="37"/>
        <v>0</v>
      </c>
      <c r="M266" s="48">
        <f t="shared" ca="1" si="33"/>
        <v>207</v>
      </c>
      <c r="N266" s="6" t="str">
        <f t="shared" ca="1" si="38"/>
        <v>SAFE</v>
      </c>
      <c r="O266" s="29">
        <f t="shared" si="34"/>
        <v>12500000</v>
      </c>
      <c r="P266" s="38">
        <f t="shared" ca="1" si="39"/>
        <v>0</v>
      </c>
      <c r="Q266" s="4" t="str">
        <f t="shared" ca="1" si="35"/>
        <v>SAFE</v>
      </c>
      <c r="R266" s="30" t="str" cm="1">
        <f t="array" aca="1" ref="R266" ca="1">_xlfn.IFS(Q266="EXPIRED", "WRITE-OFF", Q266="WARNING", "FlASH SALE ", Q266="CRITICAL", "FEFO PRIORITY", Q266="SAFE", "REGULAR SALES")</f>
        <v>REGULAR SALES</v>
      </c>
    </row>
    <row r="267" spans="1:18" x14ac:dyDescent="0.25">
      <c r="A267" s="8" t="s">
        <v>290</v>
      </c>
      <c r="B267" s="8" t="s">
        <v>12</v>
      </c>
      <c r="C267" s="9" t="s">
        <v>13</v>
      </c>
      <c r="D267" s="24" t="s">
        <v>14</v>
      </c>
      <c r="E267" s="19">
        <v>45840</v>
      </c>
      <c r="F267" s="19">
        <v>46574</v>
      </c>
      <c r="G267" s="10">
        <v>750</v>
      </c>
      <c r="H267" s="6">
        <f>SUMIF(Analysis_FEFO!$E$5:$E$174, A267, Analysis_FEFO!$G$5:$G$174)</f>
        <v>350</v>
      </c>
      <c r="I267" s="6">
        <f t="shared" si="36"/>
        <v>400</v>
      </c>
      <c r="J267" s="11">
        <v>33000</v>
      </c>
      <c r="K267" s="11">
        <f t="shared" si="32"/>
        <v>24750000</v>
      </c>
      <c r="L267" s="7">
        <f t="shared" si="37"/>
        <v>11550000</v>
      </c>
      <c r="M267" s="48">
        <f t="shared" ca="1" si="33"/>
        <v>252</v>
      </c>
      <c r="N267" s="6" t="str">
        <f t="shared" ca="1" si="38"/>
        <v>SAFE</v>
      </c>
      <c r="O267" s="29">
        <f t="shared" si="34"/>
        <v>13200000</v>
      </c>
      <c r="P267" s="38">
        <f t="shared" ca="1" si="39"/>
        <v>0</v>
      </c>
      <c r="Q267" s="8" t="str">
        <f t="shared" ca="1" si="35"/>
        <v>SAFE</v>
      </c>
      <c r="R267" s="30" t="str" cm="1">
        <f t="array" aca="1" ref="R267" ca="1">_xlfn.IFS(Q267="EXPIRED", "WRITE-OFF", Q267="WARNING", "FlASH SALE ", Q267="CRITICAL", "FEFO PRIORITY", Q267="SAFE", "REGULAR SALES")</f>
        <v>REGULAR SALES</v>
      </c>
    </row>
    <row r="268" spans="1:18" x14ac:dyDescent="0.25">
      <c r="A268" s="4" t="s">
        <v>291</v>
      </c>
      <c r="B268" s="4" t="s">
        <v>45</v>
      </c>
      <c r="C268" s="5" t="s">
        <v>46</v>
      </c>
      <c r="D268" s="23" t="s">
        <v>14</v>
      </c>
      <c r="E268" s="18">
        <v>46075</v>
      </c>
      <c r="F268" s="18">
        <v>46353</v>
      </c>
      <c r="G268" s="6">
        <v>200</v>
      </c>
      <c r="H268" s="6">
        <f>SUMIF(Analysis_FEFO!$E$5:$E$174, A268, Analysis_FEFO!$G$5:$G$174)</f>
        <v>0</v>
      </c>
      <c r="I268" s="6">
        <f t="shared" si="36"/>
        <v>200</v>
      </c>
      <c r="J268" s="7">
        <v>96000</v>
      </c>
      <c r="K268" s="7">
        <f t="shared" si="32"/>
        <v>19200000</v>
      </c>
      <c r="L268" s="7">
        <f t="shared" si="37"/>
        <v>0</v>
      </c>
      <c r="M268" s="48">
        <f t="shared" ca="1" si="33"/>
        <v>31</v>
      </c>
      <c r="N268" s="6" t="str">
        <f t="shared" ca="1" si="38"/>
        <v>SAFE</v>
      </c>
      <c r="O268" s="29">
        <f t="shared" si="34"/>
        <v>19200000</v>
      </c>
      <c r="P268" s="38">
        <f t="shared" ca="1" si="39"/>
        <v>19200000</v>
      </c>
      <c r="Q268" s="4" t="str">
        <f t="shared" ca="1" si="35"/>
        <v>CRITICAL</v>
      </c>
      <c r="R268" s="30" t="str" cm="1">
        <f t="array" aca="1" ref="R268" ca="1">_xlfn.IFS(Q268="EXPIRED", "WRITE-OFF", Q268="WARNING", "FlASH SALE ", Q268="CRITICAL", "FEFO PRIORITY", Q268="SAFE", "REGULAR SALES")</f>
        <v>FEFO PRIORITY</v>
      </c>
    </row>
    <row r="269" spans="1:18" x14ac:dyDescent="0.25">
      <c r="A269" s="8" t="s">
        <v>292</v>
      </c>
      <c r="B269" s="8" t="s">
        <v>45</v>
      </c>
      <c r="C269" s="9" t="s">
        <v>46</v>
      </c>
      <c r="D269" s="24" t="s">
        <v>14</v>
      </c>
      <c r="E269" s="19">
        <v>45854</v>
      </c>
      <c r="F269" s="19">
        <v>46734</v>
      </c>
      <c r="G269" s="10">
        <v>250</v>
      </c>
      <c r="H269" s="6">
        <f>SUMIF(Analysis_FEFO!$E$5:$E$174, A269, Analysis_FEFO!$G$5:$G$174)</f>
        <v>250</v>
      </c>
      <c r="I269" s="6">
        <f t="shared" si="36"/>
        <v>0</v>
      </c>
      <c r="J269" s="11">
        <v>96000</v>
      </c>
      <c r="K269" s="11">
        <f t="shared" si="32"/>
        <v>24000000</v>
      </c>
      <c r="L269" s="7">
        <f t="shared" si="37"/>
        <v>24000000</v>
      </c>
      <c r="M269" s="48">
        <f t="shared" ca="1" si="33"/>
        <v>412</v>
      </c>
      <c r="N269" s="6" t="str">
        <f t="shared" ca="1" si="38"/>
        <v>SAFE</v>
      </c>
      <c r="O269" s="29">
        <f t="shared" si="34"/>
        <v>0</v>
      </c>
      <c r="P269" s="38">
        <f t="shared" ca="1" si="39"/>
        <v>0</v>
      </c>
      <c r="Q269" s="8" t="str">
        <f t="shared" ca="1" si="35"/>
        <v>SAFE</v>
      </c>
      <c r="R269" s="30" t="str" cm="1">
        <f t="array" aca="1" ref="R269" ca="1">_xlfn.IFS(Q269="EXPIRED", "WRITE-OFF", Q269="WARNING", "FlASH SALE ", Q269="CRITICAL", "FEFO PRIORITY", Q269="SAFE", "REGULAR SALES")</f>
        <v>REGULAR SALES</v>
      </c>
    </row>
    <row r="270" spans="1:18" x14ac:dyDescent="0.25">
      <c r="A270" s="4" t="s">
        <v>293</v>
      </c>
      <c r="B270" s="4" t="s">
        <v>53</v>
      </c>
      <c r="C270" s="5" t="s">
        <v>54</v>
      </c>
      <c r="D270" s="23" t="s">
        <v>35</v>
      </c>
      <c r="E270" s="18">
        <v>45969</v>
      </c>
      <c r="F270" s="18">
        <v>46331</v>
      </c>
      <c r="G270" s="6">
        <v>250</v>
      </c>
      <c r="H270" s="6">
        <f>SUMIF(Analysis_FEFO!$E$5:$E$174, A270, Analysis_FEFO!$G$5:$G$174)</f>
        <v>0</v>
      </c>
      <c r="I270" s="6">
        <f t="shared" si="36"/>
        <v>250</v>
      </c>
      <c r="J270" s="7">
        <v>49000</v>
      </c>
      <c r="K270" s="7">
        <f t="shared" si="32"/>
        <v>12250000</v>
      </c>
      <c r="L270" s="7">
        <f t="shared" si="37"/>
        <v>0</v>
      </c>
      <c r="M270" s="48">
        <f t="shared" ca="1" si="33"/>
        <v>9</v>
      </c>
      <c r="N270" s="6" t="str">
        <f t="shared" ca="1" si="38"/>
        <v>EXPIRING SOON (&lt;30 DAYS)</v>
      </c>
      <c r="O270" s="29">
        <f t="shared" si="34"/>
        <v>12250000</v>
      </c>
      <c r="P270" s="38">
        <f t="shared" ca="1" si="39"/>
        <v>12250000</v>
      </c>
      <c r="Q270" s="4" t="str">
        <f t="shared" ca="1" si="35"/>
        <v>CRITICAL</v>
      </c>
      <c r="R270" s="30" t="str" cm="1">
        <f t="array" aca="1" ref="R270" ca="1">_xlfn.IFS(Q270="EXPIRED", "WRITE-OFF", Q270="WARNING", "FlASH SALE ", Q270="CRITICAL", "FEFO PRIORITY", Q270="SAFE", "REGULAR SALES")</f>
        <v>FEFO PRIORITY</v>
      </c>
    </row>
    <row r="271" spans="1:18" x14ac:dyDescent="0.25">
      <c r="A271" s="8" t="s">
        <v>294</v>
      </c>
      <c r="B271" s="8" t="s">
        <v>19</v>
      </c>
      <c r="C271" s="9" t="s">
        <v>20</v>
      </c>
      <c r="D271" s="24" t="s">
        <v>21</v>
      </c>
      <c r="E271" s="19">
        <v>46097</v>
      </c>
      <c r="F271" s="19">
        <v>46651</v>
      </c>
      <c r="G271" s="10">
        <v>100</v>
      </c>
      <c r="H271" s="6">
        <f>SUMIF(Analysis_FEFO!$E$5:$E$174, A271, Analysis_FEFO!$G$5:$G$174)</f>
        <v>0</v>
      </c>
      <c r="I271" s="6">
        <f t="shared" si="36"/>
        <v>100</v>
      </c>
      <c r="J271" s="11">
        <v>48000</v>
      </c>
      <c r="K271" s="11">
        <f t="shared" si="32"/>
        <v>4800000</v>
      </c>
      <c r="L271" s="7">
        <f t="shared" si="37"/>
        <v>0</v>
      </c>
      <c r="M271" s="48">
        <f t="shared" ca="1" si="33"/>
        <v>329</v>
      </c>
      <c r="N271" s="6" t="str">
        <f t="shared" ca="1" si="38"/>
        <v>SAFE</v>
      </c>
      <c r="O271" s="29">
        <f t="shared" si="34"/>
        <v>4800000</v>
      </c>
      <c r="P271" s="38">
        <f t="shared" ca="1" si="39"/>
        <v>0</v>
      </c>
      <c r="Q271" s="8" t="str">
        <f t="shared" ca="1" si="35"/>
        <v>SAFE</v>
      </c>
      <c r="R271" s="30" t="str" cm="1">
        <f t="array" aca="1" ref="R271" ca="1">_xlfn.IFS(Q271="EXPIRED", "WRITE-OFF", Q271="WARNING", "FlASH SALE ", Q271="CRITICAL", "FEFO PRIORITY", Q271="SAFE", "REGULAR SALES")</f>
        <v>REGULAR SALES</v>
      </c>
    </row>
    <row r="272" spans="1:18" x14ac:dyDescent="0.25">
      <c r="A272" s="4" t="s">
        <v>295</v>
      </c>
      <c r="B272" s="4" t="s">
        <v>33</v>
      </c>
      <c r="C272" s="5" t="s">
        <v>34</v>
      </c>
      <c r="D272" s="23" t="s">
        <v>35</v>
      </c>
      <c r="E272" s="18">
        <v>45911</v>
      </c>
      <c r="F272" s="18">
        <v>46417</v>
      </c>
      <c r="G272" s="6">
        <v>200</v>
      </c>
      <c r="H272" s="6">
        <f>SUMIF(Analysis_FEFO!$E$5:$E$174, A272, Analysis_FEFO!$G$5:$G$174)</f>
        <v>200</v>
      </c>
      <c r="I272" s="6">
        <f t="shared" si="36"/>
        <v>0</v>
      </c>
      <c r="J272" s="7">
        <v>61000</v>
      </c>
      <c r="K272" s="7">
        <f t="shared" si="32"/>
        <v>12200000</v>
      </c>
      <c r="L272" s="7">
        <f t="shared" si="37"/>
        <v>12200000</v>
      </c>
      <c r="M272" s="48">
        <f t="shared" ca="1" si="33"/>
        <v>95</v>
      </c>
      <c r="N272" s="6" t="str">
        <f t="shared" ca="1" si="38"/>
        <v>SAFE</v>
      </c>
      <c r="O272" s="29">
        <f t="shared" si="34"/>
        <v>0</v>
      </c>
      <c r="P272" s="38">
        <f t="shared" ca="1" si="39"/>
        <v>0</v>
      </c>
      <c r="Q272" s="4" t="str">
        <f t="shared" ca="1" si="35"/>
        <v>WARNING</v>
      </c>
      <c r="R272" s="30" t="str" cm="1">
        <f t="array" aca="1" ref="R272" ca="1">_xlfn.IFS(Q272="EXPIRED", "WRITE-OFF", Q272="WARNING", "FlASH SALE ", Q272="CRITICAL", "FEFO PRIORITY", Q272="SAFE", "REGULAR SALES")</f>
        <v xml:space="preserve">FlASH SALE </v>
      </c>
    </row>
    <row r="273" spans="1:18" x14ac:dyDescent="0.25">
      <c r="A273" s="8" t="s">
        <v>296</v>
      </c>
      <c r="B273" s="8" t="s">
        <v>25</v>
      </c>
      <c r="C273" s="9" t="s">
        <v>26</v>
      </c>
      <c r="D273" s="24" t="s">
        <v>27</v>
      </c>
      <c r="E273" s="19">
        <v>45951</v>
      </c>
      <c r="F273" s="19">
        <v>46503</v>
      </c>
      <c r="G273" s="10">
        <v>300</v>
      </c>
      <c r="H273" s="6">
        <f>SUMIF(Analysis_FEFO!$E$5:$E$174, A273, Analysis_FEFO!$G$5:$G$174)</f>
        <v>300</v>
      </c>
      <c r="I273" s="6">
        <f t="shared" si="36"/>
        <v>0</v>
      </c>
      <c r="J273" s="11">
        <v>62000</v>
      </c>
      <c r="K273" s="11">
        <f t="shared" si="32"/>
        <v>18600000</v>
      </c>
      <c r="L273" s="7">
        <f t="shared" si="37"/>
        <v>18600000</v>
      </c>
      <c r="M273" s="48">
        <f t="shared" ca="1" si="33"/>
        <v>181</v>
      </c>
      <c r="N273" s="6" t="str">
        <f t="shared" ca="1" si="38"/>
        <v>SAFE</v>
      </c>
      <c r="O273" s="29">
        <f t="shared" si="34"/>
        <v>0</v>
      </c>
      <c r="P273" s="38">
        <f t="shared" ca="1" si="39"/>
        <v>0</v>
      </c>
      <c r="Q273" s="8" t="str">
        <f t="shared" ca="1" si="35"/>
        <v>SAFE</v>
      </c>
      <c r="R273" s="30" t="str" cm="1">
        <f t="array" aca="1" ref="R273" ca="1">_xlfn.IFS(Q273="EXPIRED", "WRITE-OFF", Q273="WARNING", "FlASH SALE ", Q273="CRITICAL", "FEFO PRIORITY", Q273="SAFE", "REGULAR SALES")</f>
        <v>REGULAR SALES</v>
      </c>
    </row>
    <row r="274" spans="1:18" x14ac:dyDescent="0.25">
      <c r="A274" s="4" t="s">
        <v>297</v>
      </c>
      <c r="B274" s="4" t="s">
        <v>8</v>
      </c>
      <c r="C274" s="5" t="s">
        <v>9</v>
      </c>
      <c r="D274" s="23" t="s">
        <v>10</v>
      </c>
      <c r="E274" s="18">
        <v>45931</v>
      </c>
      <c r="F274" s="18">
        <v>46741</v>
      </c>
      <c r="G274" s="6">
        <v>300</v>
      </c>
      <c r="H274" s="6">
        <f>SUMIF(Analysis_FEFO!$E$5:$E$174, A274, Analysis_FEFO!$G$5:$G$174)</f>
        <v>300</v>
      </c>
      <c r="I274" s="6">
        <f t="shared" si="36"/>
        <v>0</v>
      </c>
      <c r="J274" s="7">
        <v>38000</v>
      </c>
      <c r="K274" s="7">
        <f t="shared" si="32"/>
        <v>11400000</v>
      </c>
      <c r="L274" s="7">
        <f t="shared" si="37"/>
        <v>11400000</v>
      </c>
      <c r="M274" s="48">
        <f t="shared" ca="1" si="33"/>
        <v>419</v>
      </c>
      <c r="N274" s="6" t="str">
        <f t="shared" ca="1" si="38"/>
        <v>SAFE</v>
      </c>
      <c r="O274" s="29">
        <f t="shared" si="34"/>
        <v>0</v>
      </c>
      <c r="P274" s="38">
        <f t="shared" ca="1" si="39"/>
        <v>0</v>
      </c>
      <c r="Q274" s="4" t="str">
        <f t="shared" ca="1" si="35"/>
        <v>SAFE</v>
      </c>
      <c r="R274" s="30" t="str" cm="1">
        <f t="array" aca="1" ref="R274" ca="1">_xlfn.IFS(Q274="EXPIRED", "WRITE-OFF", Q274="WARNING", "FlASH SALE ", Q274="CRITICAL", "FEFO PRIORITY", Q274="SAFE", "REGULAR SALES")</f>
        <v>REGULAR SALES</v>
      </c>
    </row>
    <row r="275" spans="1:18" x14ac:dyDescent="0.25">
      <c r="A275" s="8" t="s">
        <v>298</v>
      </c>
      <c r="B275" s="8" t="s">
        <v>45</v>
      </c>
      <c r="C275" s="9" t="s">
        <v>46</v>
      </c>
      <c r="D275" s="24" t="s">
        <v>14</v>
      </c>
      <c r="E275" s="19">
        <v>46012</v>
      </c>
      <c r="F275" s="19">
        <v>46554</v>
      </c>
      <c r="G275" s="10">
        <v>300</v>
      </c>
      <c r="H275" s="6">
        <f>SUMIF(Analysis_FEFO!$E$5:$E$174, A275, Analysis_FEFO!$G$5:$G$174)</f>
        <v>0</v>
      </c>
      <c r="I275" s="6">
        <f t="shared" si="36"/>
        <v>300</v>
      </c>
      <c r="J275" s="11">
        <v>88000</v>
      </c>
      <c r="K275" s="11">
        <f t="shared" si="32"/>
        <v>26400000</v>
      </c>
      <c r="L275" s="7">
        <f t="shared" si="37"/>
        <v>0</v>
      </c>
      <c r="M275" s="48">
        <f t="shared" ca="1" si="33"/>
        <v>232</v>
      </c>
      <c r="N275" s="6" t="str">
        <f t="shared" ca="1" si="38"/>
        <v>SAFE</v>
      </c>
      <c r="O275" s="29">
        <f t="shared" si="34"/>
        <v>26400000</v>
      </c>
      <c r="P275" s="38">
        <f t="shared" ca="1" si="39"/>
        <v>0</v>
      </c>
      <c r="Q275" s="8" t="str">
        <f t="shared" ca="1" si="35"/>
        <v>SAFE</v>
      </c>
      <c r="R275" s="30" t="str" cm="1">
        <f t="array" aca="1" ref="R275" ca="1">_xlfn.IFS(Q275="EXPIRED", "WRITE-OFF", Q275="WARNING", "FlASH SALE ", Q275="CRITICAL", "FEFO PRIORITY", Q275="SAFE", "REGULAR SALES")</f>
        <v>REGULAR SALES</v>
      </c>
    </row>
    <row r="276" spans="1:18" x14ac:dyDescent="0.25">
      <c r="A276" s="4" t="s">
        <v>299</v>
      </c>
      <c r="B276" s="4" t="s">
        <v>4</v>
      </c>
      <c r="C276" s="5" t="s">
        <v>5</v>
      </c>
      <c r="D276" s="23" t="s">
        <v>6</v>
      </c>
      <c r="E276" s="18">
        <v>45892</v>
      </c>
      <c r="F276" s="18">
        <v>46607</v>
      </c>
      <c r="G276" s="6">
        <v>500</v>
      </c>
      <c r="H276" s="6">
        <f>SUMIF(Analysis_FEFO!$E$5:$E$174, A276, Analysis_FEFO!$G$5:$G$174)</f>
        <v>0</v>
      </c>
      <c r="I276" s="6">
        <f t="shared" si="36"/>
        <v>500</v>
      </c>
      <c r="J276" s="7">
        <v>84000</v>
      </c>
      <c r="K276" s="7">
        <f t="shared" si="32"/>
        <v>42000000</v>
      </c>
      <c r="L276" s="7">
        <f t="shared" si="37"/>
        <v>0</v>
      </c>
      <c r="M276" s="48">
        <f t="shared" ca="1" si="33"/>
        <v>285</v>
      </c>
      <c r="N276" s="6" t="str">
        <f t="shared" ca="1" si="38"/>
        <v>SAFE</v>
      </c>
      <c r="O276" s="29">
        <f t="shared" si="34"/>
        <v>42000000</v>
      </c>
      <c r="P276" s="38">
        <f t="shared" ca="1" si="39"/>
        <v>0</v>
      </c>
      <c r="Q276" s="4" t="str">
        <f t="shared" ca="1" si="35"/>
        <v>SAFE</v>
      </c>
      <c r="R276" s="30" t="str" cm="1">
        <f t="array" aca="1" ref="R276" ca="1">_xlfn.IFS(Q276="EXPIRED", "WRITE-OFF", Q276="WARNING", "FlASH SALE ", Q276="CRITICAL", "FEFO PRIORITY", Q276="SAFE", "REGULAR SALES")</f>
        <v>REGULAR SALES</v>
      </c>
    </row>
    <row r="277" spans="1:18" x14ac:dyDescent="0.25">
      <c r="A277" s="8" t="s">
        <v>300</v>
      </c>
      <c r="B277" s="8" t="s">
        <v>8</v>
      </c>
      <c r="C277" s="9" t="s">
        <v>9</v>
      </c>
      <c r="D277" s="24" t="s">
        <v>10</v>
      </c>
      <c r="E277" s="19">
        <v>45935</v>
      </c>
      <c r="F277" s="19">
        <v>46654</v>
      </c>
      <c r="G277" s="10">
        <v>250</v>
      </c>
      <c r="H277" s="6">
        <f>SUMIF(Analysis_FEFO!$E$5:$E$174, A277, Analysis_FEFO!$G$5:$G$174)</f>
        <v>0</v>
      </c>
      <c r="I277" s="6">
        <f t="shared" si="36"/>
        <v>250</v>
      </c>
      <c r="J277" s="11">
        <v>33000</v>
      </c>
      <c r="K277" s="11">
        <f t="shared" si="32"/>
        <v>8250000</v>
      </c>
      <c r="L277" s="7">
        <f t="shared" si="37"/>
        <v>0</v>
      </c>
      <c r="M277" s="48">
        <f t="shared" ca="1" si="33"/>
        <v>332</v>
      </c>
      <c r="N277" s="6" t="str">
        <f t="shared" ca="1" si="38"/>
        <v>SAFE</v>
      </c>
      <c r="O277" s="29">
        <f t="shared" si="34"/>
        <v>8250000</v>
      </c>
      <c r="P277" s="38">
        <f t="shared" ca="1" si="39"/>
        <v>0</v>
      </c>
      <c r="Q277" s="8" t="str">
        <f t="shared" ca="1" si="35"/>
        <v>SAFE</v>
      </c>
      <c r="R277" s="30" t="str" cm="1">
        <f t="array" aca="1" ref="R277" ca="1">_xlfn.IFS(Q277="EXPIRED", "WRITE-OFF", Q277="WARNING", "FlASH SALE ", Q277="CRITICAL", "FEFO PRIORITY", Q277="SAFE", "REGULAR SALES")</f>
        <v>REGULAR SALES</v>
      </c>
    </row>
    <row r="278" spans="1:18" x14ac:dyDescent="0.25">
      <c r="A278" s="4" t="s">
        <v>301</v>
      </c>
      <c r="B278" s="4" t="s">
        <v>12</v>
      </c>
      <c r="C278" s="5" t="s">
        <v>13</v>
      </c>
      <c r="D278" s="23" t="s">
        <v>14</v>
      </c>
      <c r="E278" s="18">
        <v>45820</v>
      </c>
      <c r="F278" s="18">
        <v>46727</v>
      </c>
      <c r="G278" s="6">
        <v>250</v>
      </c>
      <c r="H278" s="6">
        <f>SUMIF(Analysis_FEFO!$E$5:$E$174, A278, Analysis_FEFO!$G$5:$G$174)</f>
        <v>250</v>
      </c>
      <c r="I278" s="6">
        <f t="shared" si="36"/>
        <v>0</v>
      </c>
      <c r="J278" s="7">
        <v>30000</v>
      </c>
      <c r="K278" s="7">
        <f t="shared" si="32"/>
        <v>7500000</v>
      </c>
      <c r="L278" s="7">
        <f t="shared" si="37"/>
        <v>7500000</v>
      </c>
      <c r="M278" s="48">
        <f t="shared" ca="1" si="33"/>
        <v>405</v>
      </c>
      <c r="N278" s="6" t="str">
        <f t="shared" ca="1" si="38"/>
        <v>SAFE</v>
      </c>
      <c r="O278" s="29">
        <f t="shared" si="34"/>
        <v>0</v>
      </c>
      <c r="P278" s="38">
        <f t="shared" ca="1" si="39"/>
        <v>0</v>
      </c>
      <c r="Q278" s="4" t="str">
        <f t="shared" ca="1" si="35"/>
        <v>SAFE</v>
      </c>
      <c r="R278" s="30" t="str" cm="1">
        <f t="array" aca="1" ref="R278" ca="1">_xlfn.IFS(Q278="EXPIRED", "WRITE-OFF", Q278="WARNING", "FlASH SALE ", Q278="CRITICAL", "FEFO PRIORITY", Q278="SAFE", "REGULAR SALES")</f>
        <v>REGULAR SALES</v>
      </c>
    </row>
    <row r="279" spans="1:18" x14ac:dyDescent="0.25">
      <c r="A279" s="8" t="s">
        <v>302</v>
      </c>
      <c r="B279" s="8" t="s">
        <v>33</v>
      </c>
      <c r="C279" s="9" t="s">
        <v>34</v>
      </c>
      <c r="D279" s="24" t="s">
        <v>35</v>
      </c>
      <c r="E279" s="19">
        <v>45955</v>
      </c>
      <c r="F279" s="19">
        <v>46663</v>
      </c>
      <c r="G279" s="10">
        <v>500</v>
      </c>
      <c r="H279" s="6">
        <f>SUMIF(Analysis_FEFO!$E$5:$E$174, A279, Analysis_FEFO!$G$5:$G$174)</f>
        <v>0</v>
      </c>
      <c r="I279" s="6">
        <f t="shared" si="36"/>
        <v>500</v>
      </c>
      <c r="J279" s="11">
        <v>58000</v>
      </c>
      <c r="K279" s="11">
        <f t="shared" si="32"/>
        <v>29000000</v>
      </c>
      <c r="L279" s="7">
        <f t="shared" si="37"/>
        <v>0</v>
      </c>
      <c r="M279" s="48">
        <f t="shared" ca="1" si="33"/>
        <v>341</v>
      </c>
      <c r="N279" s="6" t="str">
        <f t="shared" ca="1" si="38"/>
        <v>SAFE</v>
      </c>
      <c r="O279" s="29">
        <f t="shared" si="34"/>
        <v>29000000</v>
      </c>
      <c r="P279" s="38">
        <f t="shared" ca="1" si="39"/>
        <v>0</v>
      </c>
      <c r="Q279" s="8" t="str">
        <f t="shared" ca="1" si="35"/>
        <v>SAFE</v>
      </c>
      <c r="R279" s="30" t="str" cm="1">
        <f t="array" aca="1" ref="R279" ca="1">_xlfn.IFS(Q279="EXPIRED", "WRITE-OFF", Q279="WARNING", "FlASH SALE ", Q279="CRITICAL", "FEFO PRIORITY", Q279="SAFE", "REGULAR SALES")</f>
        <v>REGULAR SALES</v>
      </c>
    </row>
    <row r="280" spans="1:18" x14ac:dyDescent="0.25">
      <c r="A280" s="4" t="s">
        <v>303</v>
      </c>
      <c r="B280" s="4" t="s">
        <v>16</v>
      </c>
      <c r="C280" s="5" t="s">
        <v>17</v>
      </c>
      <c r="D280" s="23" t="s">
        <v>6</v>
      </c>
      <c r="E280" s="18">
        <v>45991</v>
      </c>
      <c r="F280" s="18">
        <v>46442</v>
      </c>
      <c r="G280" s="6">
        <v>300</v>
      </c>
      <c r="H280" s="6">
        <f>SUMIF(Analysis_FEFO!$E$5:$E$174, A280, Analysis_FEFO!$G$5:$G$174)</f>
        <v>300</v>
      </c>
      <c r="I280" s="6">
        <f t="shared" si="36"/>
        <v>0</v>
      </c>
      <c r="J280" s="7">
        <v>61000</v>
      </c>
      <c r="K280" s="7">
        <f t="shared" si="32"/>
        <v>18300000</v>
      </c>
      <c r="L280" s="7">
        <f t="shared" si="37"/>
        <v>18300000</v>
      </c>
      <c r="M280" s="48">
        <f t="shared" ca="1" si="33"/>
        <v>120</v>
      </c>
      <c r="N280" s="6" t="str">
        <f t="shared" ca="1" si="38"/>
        <v>SAFE</v>
      </c>
      <c r="O280" s="29">
        <f t="shared" si="34"/>
        <v>0</v>
      </c>
      <c r="P280" s="38">
        <f t="shared" ca="1" si="39"/>
        <v>0</v>
      </c>
      <c r="Q280" s="4" t="str">
        <f t="shared" ca="1" si="35"/>
        <v>WARNING</v>
      </c>
      <c r="R280" s="30" t="str" cm="1">
        <f t="array" aca="1" ref="R280" ca="1">_xlfn.IFS(Q280="EXPIRED", "WRITE-OFF", Q280="WARNING", "FlASH SALE ", Q280="CRITICAL", "FEFO PRIORITY", Q280="SAFE", "REGULAR SALES")</f>
        <v xml:space="preserve">FlASH SALE </v>
      </c>
    </row>
    <row r="281" spans="1:18" x14ac:dyDescent="0.25">
      <c r="A281" s="8" t="s">
        <v>304</v>
      </c>
      <c r="B281" s="8" t="s">
        <v>8</v>
      </c>
      <c r="C281" s="9" t="s">
        <v>9</v>
      </c>
      <c r="D281" s="24" t="s">
        <v>10</v>
      </c>
      <c r="E281" s="19">
        <v>45958</v>
      </c>
      <c r="F281" s="19">
        <v>46601</v>
      </c>
      <c r="G281" s="10">
        <v>1000</v>
      </c>
      <c r="H281" s="6">
        <f>SUMIF(Analysis_FEFO!$E$5:$E$174, A281, Analysis_FEFO!$G$5:$G$174)</f>
        <v>0</v>
      </c>
      <c r="I281" s="6">
        <f t="shared" si="36"/>
        <v>1000</v>
      </c>
      <c r="J281" s="11">
        <v>34000</v>
      </c>
      <c r="K281" s="11">
        <f t="shared" si="32"/>
        <v>34000000</v>
      </c>
      <c r="L281" s="7">
        <f t="shared" si="37"/>
        <v>0</v>
      </c>
      <c r="M281" s="48">
        <f t="shared" ca="1" si="33"/>
        <v>279</v>
      </c>
      <c r="N281" s="6" t="str">
        <f t="shared" ca="1" si="38"/>
        <v>SAFE</v>
      </c>
      <c r="O281" s="29">
        <f t="shared" si="34"/>
        <v>34000000</v>
      </c>
      <c r="P281" s="38">
        <f t="shared" ca="1" si="39"/>
        <v>0</v>
      </c>
      <c r="Q281" s="8" t="str">
        <f t="shared" ca="1" si="35"/>
        <v>SAFE</v>
      </c>
      <c r="R281" s="30" t="str" cm="1">
        <f t="array" aca="1" ref="R281" ca="1">_xlfn.IFS(Q281="EXPIRED", "WRITE-OFF", Q281="WARNING", "FlASH SALE ", Q281="CRITICAL", "FEFO PRIORITY", Q281="SAFE", "REGULAR SALES")</f>
        <v>REGULAR SALES</v>
      </c>
    </row>
    <row r="282" spans="1:18" x14ac:dyDescent="0.25">
      <c r="A282" s="4" t="s">
        <v>305</v>
      </c>
      <c r="B282" s="4" t="s">
        <v>33</v>
      </c>
      <c r="C282" s="5" t="s">
        <v>34</v>
      </c>
      <c r="D282" s="23" t="s">
        <v>35</v>
      </c>
      <c r="E282" s="18">
        <v>46051</v>
      </c>
      <c r="F282" s="18">
        <v>46424</v>
      </c>
      <c r="G282" s="6">
        <v>250</v>
      </c>
      <c r="H282" s="6">
        <f>SUMIF(Analysis_FEFO!$E$5:$E$174, A282, Analysis_FEFO!$G$5:$G$174)</f>
        <v>0</v>
      </c>
      <c r="I282" s="6">
        <f t="shared" si="36"/>
        <v>250</v>
      </c>
      <c r="J282" s="7">
        <v>52000</v>
      </c>
      <c r="K282" s="7">
        <f t="shared" si="32"/>
        <v>13000000</v>
      </c>
      <c r="L282" s="7">
        <f t="shared" si="37"/>
        <v>0</v>
      </c>
      <c r="M282" s="48">
        <f t="shared" ca="1" si="33"/>
        <v>102</v>
      </c>
      <c r="N282" s="6" t="str">
        <f t="shared" ca="1" si="38"/>
        <v>SAFE</v>
      </c>
      <c r="O282" s="29">
        <f t="shared" si="34"/>
        <v>13000000</v>
      </c>
      <c r="P282" s="38">
        <f t="shared" ca="1" si="39"/>
        <v>0</v>
      </c>
      <c r="Q282" s="4" t="str">
        <f t="shared" ca="1" si="35"/>
        <v>WARNING</v>
      </c>
      <c r="R282" s="30" t="str" cm="1">
        <f t="array" aca="1" ref="R282" ca="1">_xlfn.IFS(Q282="EXPIRED", "WRITE-OFF", Q282="WARNING", "FlASH SALE ", Q282="CRITICAL", "FEFO PRIORITY", Q282="SAFE", "REGULAR SALES")</f>
        <v xml:space="preserve">FlASH SALE </v>
      </c>
    </row>
    <row r="283" spans="1:18" x14ac:dyDescent="0.25">
      <c r="A283" s="8" t="s">
        <v>306</v>
      </c>
      <c r="B283" s="8" t="s">
        <v>4</v>
      </c>
      <c r="C283" s="9" t="s">
        <v>5</v>
      </c>
      <c r="D283" s="24" t="s">
        <v>6</v>
      </c>
      <c r="E283" s="19">
        <v>46021</v>
      </c>
      <c r="F283" s="19">
        <v>46394</v>
      </c>
      <c r="G283" s="10">
        <v>500</v>
      </c>
      <c r="H283" s="6">
        <f>SUMIF(Analysis_FEFO!$E$5:$E$174, A283, Analysis_FEFO!$G$5:$G$174)</f>
        <v>0</v>
      </c>
      <c r="I283" s="6">
        <f t="shared" si="36"/>
        <v>500</v>
      </c>
      <c r="J283" s="11">
        <v>79000</v>
      </c>
      <c r="K283" s="11">
        <f t="shared" si="32"/>
        <v>39500000</v>
      </c>
      <c r="L283" s="7">
        <f t="shared" si="37"/>
        <v>0</v>
      </c>
      <c r="M283" s="48">
        <f t="shared" ca="1" si="33"/>
        <v>72</v>
      </c>
      <c r="N283" s="6" t="str">
        <f t="shared" ca="1" si="38"/>
        <v>SAFE</v>
      </c>
      <c r="O283" s="29">
        <f t="shared" si="34"/>
        <v>39500000</v>
      </c>
      <c r="P283" s="38">
        <f t="shared" ca="1" si="39"/>
        <v>0</v>
      </c>
      <c r="Q283" s="8" t="str">
        <f t="shared" ca="1" si="35"/>
        <v>WARNING</v>
      </c>
      <c r="R283" s="30" t="str" cm="1">
        <f t="array" aca="1" ref="R283" ca="1">_xlfn.IFS(Q283="EXPIRED", "WRITE-OFF", Q283="WARNING", "FlASH SALE ", Q283="CRITICAL", "FEFO PRIORITY", Q283="SAFE", "REGULAR SALES")</f>
        <v xml:space="preserve">FlASH SALE </v>
      </c>
    </row>
    <row r="284" spans="1:18" x14ac:dyDescent="0.25">
      <c r="A284" s="4" t="s">
        <v>307</v>
      </c>
      <c r="B284" s="4" t="s">
        <v>53</v>
      </c>
      <c r="C284" s="5" t="s">
        <v>54</v>
      </c>
      <c r="D284" s="23" t="s">
        <v>35</v>
      </c>
      <c r="E284" s="18">
        <v>46028</v>
      </c>
      <c r="F284" s="18">
        <v>46302</v>
      </c>
      <c r="G284" s="6">
        <v>300</v>
      </c>
      <c r="H284" s="6">
        <f>SUMIF(Analysis_FEFO!$E$5:$E$174, A284, Analysis_FEFO!$G$5:$G$174)</f>
        <v>300</v>
      </c>
      <c r="I284" s="6">
        <f t="shared" si="36"/>
        <v>0</v>
      </c>
      <c r="J284" s="7">
        <v>49000</v>
      </c>
      <c r="K284" s="7">
        <f t="shared" si="32"/>
        <v>14700000</v>
      </c>
      <c r="L284" s="7">
        <f t="shared" si="37"/>
        <v>14700000</v>
      </c>
      <c r="M284" s="48">
        <f t="shared" ca="1" si="33"/>
        <v>-20</v>
      </c>
      <c r="N284" s="6" t="str">
        <f t="shared" ca="1" si="38"/>
        <v>EXPIRED</v>
      </c>
      <c r="O284" s="29">
        <f t="shared" si="34"/>
        <v>0</v>
      </c>
      <c r="P284" s="38">
        <f t="shared" ca="1" si="39"/>
        <v>0</v>
      </c>
      <c r="Q284" s="4" t="str">
        <f t="shared" ca="1" si="35"/>
        <v>EXPIRED</v>
      </c>
      <c r="R284" s="30" t="str" cm="1">
        <f t="array" aca="1" ref="R284" ca="1">_xlfn.IFS(Q284="EXPIRED", "WRITE-OFF", Q284="WARNING", "FlASH SALE ", Q284="CRITICAL", "FEFO PRIORITY", Q284="SAFE", "REGULAR SALES")</f>
        <v>WRITE-OFF</v>
      </c>
    </row>
    <row r="285" spans="1:18" x14ac:dyDescent="0.25">
      <c r="A285" s="8" t="s">
        <v>308</v>
      </c>
      <c r="B285" s="8" t="s">
        <v>19</v>
      </c>
      <c r="C285" s="9" t="s">
        <v>20</v>
      </c>
      <c r="D285" s="24" t="s">
        <v>21</v>
      </c>
      <c r="E285" s="19">
        <v>45904</v>
      </c>
      <c r="F285" s="19">
        <v>46639</v>
      </c>
      <c r="G285" s="10">
        <v>500</v>
      </c>
      <c r="H285" s="6">
        <f>SUMIF(Analysis_FEFO!$E$5:$E$174, A285, Analysis_FEFO!$G$5:$G$174)</f>
        <v>0</v>
      </c>
      <c r="I285" s="6">
        <f t="shared" si="36"/>
        <v>500</v>
      </c>
      <c r="J285" s="11">
        <v>52000</v>
      </c>
      <c r="K285" s="11">
        <f t="shared" si="32"/>
        <v>26000000</v>
      </c>
      <c r="L285" s="7">
        <f t="shared" si="37"/>
        <v>0</v>
      </c>
      <c r="M285" s="48">
        <f t="shared" ca="1" si="33"/>
        <v>317</v>
      </c>
      <c r="N285" s="6" t="str">
        <f t="shared" ca="1" si="38"/>
        <v>SAFE</v>
      </c>
      <c r="O285" s="29">
        <f t="shared" si="34"/>
        <v>26000000</v>
      </c>
      <c r="P285" s="38">
        <f t="shared" ca="1" si="39"/>
        <v>0</v>
      </c>
      <c r="Q285" s="8" t="str">
        <f t="shared" ca="1" si="35"/>
        <v>SAFE</v>
      </c>
      <c r="R285" s="30" t="str" cm="1">
        <f t="array" aca="1" ref="R285" ca="1">_xlfn.IFS(Q285="EXPIRED", "WRITE-OFF", Q285="WARNING", "FlASH SALE ", Q285="CRITICAL", "FEFO PRIORITY", Q285="SAFE", "REGULAR SALES")</f>
        <v>REGULAR SALES</v>
      </c>
    </row>
    <row r="286" spans="1:18" x14ac:dyDescent="0.25">
      <c r="A286" s="4" t="s">
        <v>309</v>
      </c>
      <c r="B286" s="4" t="s">
        <v>53</v>
      </c>
      <c r="C286" s="5" t="s">
        <v>54</v>
      </c>
      <c r="D286" s="23" t="s">
        <v>35</v>
      </c>
      <c r="E286" s="18">
        <v>45874</v>
      </c>
      <c r="F286" s="18">
        <v>46587</v>
      </c>
      <c r="G286" s="6">
        <v>250</v>
      </c>
      <c r="H286" s="6">
        <f>SUMIF(Analysis_FEFO!$E$5:$E$174, A286, Analysis_FEFO!$G$5:$G$174)</f>
        <v>250</v>
      </c>
      <c r="I286" s="6">
        <f t="shared" si="36"/>
        <v>0</v>
      </c>
      <c r="J286" s="7">
        <v>57000</v>
      </c>
      <c r="K286" s="7">
        <f t="shared" si="32"/>
        <v>14250000</v>
      </c>
      <c r="L286" s="7">
        <f t="shared" si="37"/>
        <v>14250000</v>
      </c>
      <c r="M286" s="48">
        <f t="shared" ca="1" si="33"/>
        <v>265</v>
      </c>
      <c r="N286" s="6" t="str">
        <f t="shared" ca="1" si="38"/>
        <v>SAFE</v>
      </c>
      <c r="O286" s="29">
        <f t="shared" si="34"/>
        <v>0</v>
      </c>
      <c r="P286" s="38">
        <f t="shared" ca="1" si="39"/>
        <v>0</v>
      </c>
      <c r="Q286" s="4" t="str">
        <f t="shared" ca="1" si="35"/>
        <v>SAFE</v>
      </c>
      <c r="R286" s="30" t="str" cm="1">
        <f t="array" aca="1" ref="R286" ca="1">_xlfn.IFS(Q286="EXPIRED", "WRITE-OFF", Q286="WARNING", "FlASH SALE ", Q286="CRITICAL", "FEFO PRIORITY", Q286="SAFE", "REGULAR SALES")</f>
        <v>REGULAR SALES</v>
      </c>
    </row>
    <row r="287" spans="1:18" x14ac:dyDescent="0.25">
      <c r="A287" s="8" t="s">
        <v>310</v>
      </c>
      <c r="B287" s="8" t="s">
        <v>8</v>
      </c>
      <c r="C287" s="9" t="s">
        <v>9</v>
      </c>
      <c r="D287" s="24" t="s">
        <v>10</v>
      </c>
      <c r="E287" s="19">
        <v>45994</v>
      </c>
      <c r="F287" s="19">
        <v>46710</v>
      </c>
      <c r="G287" s="10">
        <v>250</v>
      </c>
      <c r="H287" s="6">
        <f>SUMIF(Analysis_FEFO!$E$5:$E$174, A287, Analysis_FEFO!$G$5:$G$174)</f>
        <v>0</v>
      </c>
      <c r="I287" s="6">
        <f t="shared" si="36"/>
        <v>250</v>
      </c>
      <c r="J287" s="11">
        <v>33000</v>
      </c>
      <c r="K287" s="11">
        <f t="shared" si="32"/>
        <v>8250000</v>
      </c>
      <c r="L287" s="7">
        <f t="shared" si="37"/>
        <v>0</v>
      </c>
      <c r="M287" s="48">
        <f t="shared" ca="1" si="33"/>
        <v>388</v>
      </c>
      <c r="N287" s="6" t="str">
        <f t="shared" ca="1" si="38"/>
        <v>SAFE</v>
      </c>
      <c r="O287" s="29">
        <f t="shared" si="34"/>
        <v>8250000</v>
      </c>
      <c r="P287" s="38">
        <f t="shared" ca="1" si="39"/>
        <v>0</v>
      </c>
      <c r="Q287" s="8" t="str">
        <f t="shared" ca="1" si="35"/>
        <v>SAFE</v>
      </c>
      <c r="R287" s="30" t="str" cm="1">
        <f t="array" aca="1" ref="R287" ca="1">_xlfn.IFS(Q287="EXPIRED", "WRITE-OFF", Q287="WARNING", "FlASH SALE ", Q287="CRITICAL", "FEFO PRIORITY", Q287="SAFE", "REGULAR SALES")</f>
        <v>REGULAR SALES</v>
      </c>
    </row>
    <row r="288" spans="1:18" x14ac:dyDescent="0.25">
      <c r="A288" s="4" t="s">
        <v>311</v>
      </c>
      <c r="B288" s="4" t="s">
        <v>29</v>
      </c>
      <c r="C288" s="5" t="s">
        <v>30</v>
      </c>
      <c r="D288" s="23" t="s">
        <v>10</v>
      </c>
      <c r="E288" s="18">
        <v>45829</v>
      </c>
      <c r="F288" s="18">
        <v>46541</v>
      </c>
      <c r="G288" s="6">
        <v>500</v>
      </c>
      <c r="H288" s="6">
        <f>SUMIF(Analysis_FEFO!$E$5:$E$174, A288, Analysis_FEFO!$G$5:$G$174)</f>
        <v>0</v>
      </c>
      <c r="I288" s="6">
        <f t="shared" si="36"/>
        <v>500</v>
      </c>
      <c r="J288" s="7">
        <v>28000</v>
      </c>
      <c r="K288" s="7">
        <f t="shared" si="32"/>
        <v>14000000</v>
      </c>
      <c r="L288" s="7">
        <f t="shared" si="37"/>
        <v>0</v>
      </c>
      <c r="M288" s="48">
        <f t="shared" ca="1" si="33"/>
        <v>219</v>
      </c>
      <c r="N288" s="6" t="str">
        <f t="shared" ca="1" si="38"/>
        <v>SAFE</v>
      </c>
      <c r="O288" s="29">
        <f t="shared" si="34"/>
        <v>14000000</v>
      </c>
      <c r="P288" s="38">
        <f t="shared" ca="1" si="39"/>
        <v>0</v>
      </c>
      <c r="Q288" s="4" t="str">
        <f t="shared" ca="1" si="35"/>
        <v>SAFE</v>
      </c>
      <c r="R288" s="30" t="str" cm="1">
        <f t="array" aca="1" ref="R288" ca="1">_xlfn.IFS(Q288="EXPIRED", "WRITE-OFF", Q288="WARNING", "FlASH SALE ", Q288="CRITICAL", "FEFO PRIORITY", Q288="SAFE", "REGULAR SALES")</f>
        <v>REGULAR SALES</v>
      </c>
    </row>
    <row r="289" spans="1:18" x14ac:dyDescent="0.25">
      <c r="A289" s="8" t="s">
        <v>312</v>
      </c>
      <c r="B289" s="8" t="s">
        <v>4</v>
      </c>
      <c r="C289" s="9" t="s">
        <v>5</v>
      </c>
      <c r="D289" s="24" t="s">
        <v>6</v>
      </c>
      <c r="E289" s="19">
        <v>46106</v>
      </c>
      <c r="F289" s="19">
        <v>46649</v>
      </c>
      <c r="G289" s="10">
        <v>300</v>
      </c>
      <c r="H289" s="6">
        <f>SUMIF(Analysis_FEFO!$E$5:$E$174, A289, Analysis_FEFO!$G$5:$G$174)</f>
        <v>0</v>
      </c>
      <c r="I289" s="6">
        <f t="shared" si="36"/>
        <v>300</v>
      </c>
      <c r="J289" s="11">
        <v>79000</v>
      </c>
      <c r="K289" s="11">
        <f t="shared" si="32"/>
        <v>23700000</v>
      </c>
      <c r="L289" s="7">
        <f t="shared" si="37"/>
        <v>0</v>
      </c>
      <c r="M289" s="48">
        <f t="shared" ca="1" si="33"/>
        <v>327</v>
      </c>
      <c r="N289" s="6" t="str">
        <f t="shared" ca="1" si="38"/>
        <v>SAFE</v>
      </c>
      <c r="O289" s="29">
        <f t="shared" si="34"/>
        <v>23700000</v>
      </c>
      <c r="P289" s="38">
        <f t="shared" ca="1" si="39"/>
        <v>0</v>
      </c>
      <c r="Q289" s="8" t="str">
        <f t="shared" ca="1" si="35"/>
        <v>SAFE</v>
      </c>
      <c r="R289" s="30" t="str" cm="1">
        <f t="array" aca="1" ref="R289" ca="1">_xlfn.IFS(Q289="EXPIRED", "WRITE-OFF", Q289="WARNING", "FlASH SALE ", Q289="CRITICAL", "FEFO PRIORITY", Q289="SAFE", "REGULAR SALES")</f>
        <v>REGULAR SALES</v>
      </c>
    </row>
    <row r="290" spans="1:18" x14ac:dyDescent="0.25">
      <c r="A290" s="4" t="s">
        <v>313</v>
      </c>
      <c r="B290" s="4" t="s">
        <v>16</v>
      </c>
      <c r="C290" s="5" t="s">
        <v>17</v>
      </c>
      <c r="D290" s="23" t="s">
        <v>6</v>
      </c>
      <c r="E290" s="18">
        <v>45849</v>
      </c>
      <c r="F290" s="18">
        <v>46406</v>
      </c>
      <c r="G290" s="6">
        <v>250</v>
      </c>
      <c r="H290" s="6">
        <f>SUMIF(Analysis_FEFO!$E$5:$E$174, A290, Analysis_FEFO!$G$5:$G$174)</f>
        <v>250</v>
      </c>
      <c r="I290" s="6">
        <f t="shared" si="36"/>
        <v>0</v>
      </c>
      <c r="J290" s="7">
        <v>67000</v>
      </c>
      <c r="K290" s="7">
        <f t="shared" si="32"/>
        <v>16750000</v>
      </c>
      <c r="L290" s="7">
        <f t="shared" si="37"/>
        <v>16750000</v>
      </c>
      <c r="M290" s="48">
        <f t="shared" ca="1" si="33"/>
        <v>84</v>
      </c>
      <c r="N290" s="6" t="str">
        <f t="shared" ca="1" si="38"/>
        <v>SAFE</v>
      </c>
      <c r="O290" s="29">
        <f t="shared" si="34"/>
        <v>0</v>
      </c>
      <c r="P290" s="38">
        <f t="shared" ca="1" si="39"/>
        <v>0</v>
      </c>
      <c r="Q290" s="4" t="str">
        <f t="shared" ca="1" si="35"/>
        <v>WARNING</v>
      </c>
      <c r="R290" s="30" t="str" cm="1">
        <f t="array" aca="1" ref="R290" ca="1">_xlfn.IFS(Q290="EXPIRED", "WRITE-OFF", Q290="WARNING", "FlASH SALE ", Q290="CRITICAL", "FEFO PRIORITY", Q290="SAFE", "REGULAR SALES")</f>
        <v xml:space="preserve">FlASH SALE </v>
      </c>
    </row>
    <row r="291" spans="1:18" x14ac:dyDescent="0.25">
      <c r="A291" s="8" t="s">
        <v>314</v>
      </c>
      <c r="B291" s="8" t="s">
        <v>4</v>
      </c>
      <c r="C291" s="9" t="s">
        <v>5</v>
      </c>
      <c r="D291" s="24" t="s">
        <v>6</v>
      </c>
      <c r="E291" s="19">
        <v>45892</v>
      </c>
      <c r="F291" s="19">
        <v>46607</v>
      </c>
      <c r="G291" s="10">
        <v>300</v>
      </c>
      <c r="H291" s="6">
        <f>SUMIF(Analysis_FEFO!$E$5:$E$174, A291, Analysis_FEFO!$G$5:$G$174)</f>
        <v>0</v>
      </c>
      <c r="I291" s="6">
        <f t="shared" si="36"/>
        <v>300</v>
      </c>
      <c r="J291" s="11">
        <v>83000</v>
      </c>
      <c r="K291" s="11">
        <f t="shared" si="32"/>
        <v>24900000</v>
      </c>
      <c r="L291" s="7">
        <f t="shared" si="37"/>
        <v>0</v>
      </c>
      <c r="M291" s="48">
        <f t="shared" ca="1" si="33"/>
        <v>285</v>
      </c>
      <c r="N291" s="6" t="str">
        <f t="shared" ca="1" si="38"/>
        <v>SAFE</v>
      </c>
      <c r="O291" s="29">
        <f t="shared" si="34"/>
        <v>24900000</v>
      </c>
      <c r="P291" s="38">
        <f t="shared" ca="1" si="39"/>
        <v>0</v>
      </c>
      <c r="Q291" s="8" t="str">
        <f t="shared" ca="1" si="35"/>
        <v>SAFE</v>
      </c>
      <c r="R291" s="30" t="str" cm="1">
        <f t="array" aca="1" ref="R291" ca="1">_xlfn.IFS(Q291="EXPIRED", "WRITE-OFF", Q291="WARNING", "FlASH SALE ", Q291="CRITICAL", "FEFO PRIORITY", Q291="SAFE", "REGULAR SALES")</f>
        <v>REGULAR SALES</v>
      </c>
    </row>
    <row r="292" spans="1:18" x14ac:dyDescent="0.25">
      <c r="A292" s="4" t="s">
        <v>315</v>
      </c>
      <c r="B292" s="4" t="s">
        <v>45</v>
      </c>
      <c r="C292" s="5" t="s">
        <v>46</v>
      </c>
      <c r="D292" s="23" t="s">
        <v>14</v>
      </c>
      <c r="E292" s="18">
        <v>45836</v>
      </c>
      <c r="F292" s="18">
        <v>46370</v>
      </c>
      <c r="G292" s="6">
        <v>100</v>
      </c>
      <c r="H292" s="6">
        <f>SUMIF(Analysis_FEFO!$E$5:$E$174, A292, Analysis_FEFO!$G$5:$G$174)</f>
        <v>100</v>
      </c>
      <c r="I292" s="6">
        <f t="shared" si="36"/>
        <v>0</v>
      </c>
      <c r="J292" s="7">
        <v>85000</v>
      </c>
      <c r="K292" s="7">
        <f t="shared" si="32"/>
        <v>8500000</v>
      </c>
      <c r="L292" s="7">
        <f t="shared" si="37"/>
        <v>8500000</v>
      </c>
      <c r="M292" s="48">
        <f t="shared" ca="1" si="33"/>
        <v>48</v>
      </c>
      <c r="N292" s="6" t="str">
        <f t="shared" ca="1" si="38"/>
        <v>SAFE</v>
      </c>
      <c r="O292" s="29">
        <f t="shared" si="34"/>
        <v>0</v>
      </c>
      <c r="P292" s="38">
        <f t="shared" ca="1" si="39"/>
        <v>0</v>
      </c>
      <c r="Q292" s="4" t="str">
        <f t="shared" ca="1" si="35"/>
        <v>CRITICAL</v>
      </c>
      <c r="R292" s="30" t="str" cm="1">
        <f t="array" aca="1" ref="R292" ca="1">_xlfn.IFS(Q292="EXPIRED", "WRITE-OFF", Q292="WARNING", "FlASH SALE ", Q292="CRITICAL", "FEFO PRIORITY", Q292="SAFE", "REGULAR SALES")</f>
        <v>FEFO PRIORITY</v>
      </c>
    </row>
    <row r="293" spans="1:18" x14ac:dyDescent="0.25">
      <c r="A293" s="8" t="s">
        <v>316</v>
      </c>
      <c r="B293" s="8" t="s">
        <v>29</v>
      </c>
      <c r="C293" s="9" t="s">
        <v>30</v>
      </c>
      <c r="D293" s="24" t="s">
        <v>10</v>
      </c>
      <c r="E293" s="19">
        <v>45972</v>
      </c>
      <c r="F293" s="19">
        <v>46691</v>
      </c>
      <c r="G293" s="10">
        <v>200</v>
      </c>
      <c r="H293" s="6">
        <f>SUMIF(Analysis_FEFO!$E$5:$E$174, A293, Analysis_FEFO!$G$5:$G$174)</f>
        <v>0</v>
      </c>
      <c r="I293" s="6">
        <f t="shared" si="36"/>
        <v>200</v>
      </c>
      <c r="J293" s="11">
        <v>26000</v>
      </c>
      <c r="K293" s="11">
        <f t="shared" si="32"/>
        <v>5200000</v>
      </c>
      <c r="L293" s="7">
        <f t="shared" si="37"/>
        <v>0</v>
      </c>
      <c r="M293" s="48">
        <f t="shared" ca="1" si="33"/>
        <v>369</v>
      </c>
      <c r="N293" s="6" t="str">
        <f t="shared" ca="1" si="38"/>
        <v>SAFE</v>
      </c>
      <c r="O293" s="29">
        <f t="shared" si="34"/>
        <v>5200000</v>
      </c>
      <c r="P293" s="38">
        <f t="shared" ca="1" si="39"/>
        <v>0</v>
      </c>
      <c r="Q293" s="8" t="str">
        <f t="shared" ca="1" si="35"/>
        <v>SAFE</v>
      </c>
      <c r="R293" s="30" t="str" cm="1">
        <f t="array" aca="1" ref="R293" ca="1">_xlfn.IFS(Q293="EXPIRED", "WRITE-OFF", Q293="WARNING", "FlASH SALE ", Q293="CRITICAL", "FEFO PRIORITY", Q293="SAFE", "REGULAR SALES")</f>
        <v>REGULAR SALES</v>
      </c>
    </row>
    <row r="294" spans="1:18" x14ac:dyDescent="0.25">
      <c r="A294" s="4" t="s">
        <v>317</v>
      </c>
      <c r="B294" s="4" t="s">
        <v>8</v>
      </c>
      <c r="C294" s="5" t="s">
        <v>9</v>
      </c>
      <c r="D294" s="23" t="s">
        <v>10</v>
      </c>
      <c r="E294" s="18">
        <v>45926</v>
      </c>
      <c r="F294" s="18">
        <v>46465</v>
      </c>
      <c r="G294" s="6">
        <v>250</v>
      </c>
      <c r="H294" s="6">
        <f>SUMIF(Analysis_FEFO!$E$5:$E$174, A294, Analysis_FEFO!$G$5:$G$174)</f>
        <v>250</v>
      </c>
      <c r="I294" s="6">
        <f t="shared" si="36"/>
        <v>0</v>
      </c>
      <c r="J294" s="7">
        <v>35000</v>
      </c>
      <c r="K294" s="7">
        <f t="shared" si="32"/>
        <v>8750000</v>
      </c>
      <c r="L294" s="7">
        <f t="shared" si="37"/>
        <v>8750000</v>
      </c>
      <c r="M294" s="48">
        <f t="shared" ca="1" si="33"/>
        <v>143</v>
      </c>
      <c r="N294" s="6" t="str">
        <f t="shared" ca="1" si="38"/>
        <v>SAFE</v>
      </c>
      <c r="O294" s="29">
        <f t="shared" si="34"/>
        <v>0</v>
      </c>
      <c r="P294" s="38">
        <f t="shared" ca="1" si="39"/>
        <v>0</v>
      </c>
      <c r="Q294" s="4" t="str">
        <f t="shared" ca="1" si="35"/>
        <v>WARNING</v>
      </c>
      <c r="R294" s="30" t="str" cm="1">
        <f t="array" aca="1" ref="R294" ca="1">_xlfn.IFS(Q294="EXPIRED", "WRITE-OFF", Q294="WARNING", "FlASH SALE ", Q294="CRITICAL", "FEFO PRIORITY", Q294="SAFE", "REGULAR SALES")</f>
        <v xml:space="preserve">FlASH SALE </v>
      </c>
    </row>
    <row r="295" spans="1:18" x14ac:dyDescent="0.25">
      <c r="A295" s="8" t="s">
        <v>318</v>
      </c>
      <c r="B295" s="8" t="s">
        <v>45</v>
      </c>
      <c r="C295" s="9" t="s">
        <v>46</v>
      </c>
      <c r="D295" s="24" t="s">
        <v>14</v>
      </c>
      <c r="E295" s="19">
        <v>46065</v>
      </c>
      <c r="F295" s="19">
        <v>46327</v>
      </c>
      <c r="G295" s="10">
        <v>300</v>
      </c>
      <c r="H295" s="6">
        <f>SUMIF(Analysis_FEFO!$E$5:$E$174, A295, Analysis_FEFO!$G$5:$G$174)</f>
        <v>0</v>
      </c>
      <c r="I295" s="6">
        <f t="shared" si="36"/>
        <v>300</v>
      </c>
      <c r="J295" s="11">
        <v>85000</v>
      </c>
      <c r="K295" s="11">
        <f t="shared" si="32"/>
        <v>25500000</v>
      </c>
      <c r="L295" s="7">
        <f t="shared" si="37"/>
        <v>0</v>
      </c>
      <c r="M295" s="48">
        <f t="shared" ca="1" si="33"/>
        <v>5</v>
      </c>
      <c r="N295" s="6" t="str">
        <f t="shared" ca="1" si="38"/>
        <v>EXPIRING SOON (&lt;30 DAYS)</v>
      </c>
      <c r="O295" s="29">
        <f t="shared" si="34"/>
        <v>25500000</v>
      </c>
      <c r="P295" s="38">
        <f t="shared" ca="1" si="39"/>
        <v>25500000</v>
      </c>
      <c r="Q295" s="8" t="str">
        <f t="shared" ca="1" si="35"/>
        <v>CRITICAL</v>
      </c>
      <c r="R295" s="30" t="str" cm="1">
        <f t="array" aca="1" ref="R295" ca="1">_xlfn.IFS(Q295="EXPIRED", "WRITE-OFF", Q295="WARNING", "FlASH SALE ", Q295="CRITICAL", "FEFO PRIORITY", Q295="SAFE", "REGULAR SALES")</f>
        <v>FEFO PRIORITY</v>
      </c>
    </row>
    <row r="296" spans="1:18" x14ac:dyDescent="0.25">
      <c r="A296" s="4" t="s">
        <v>319</v>
      </c>
      <c r="B296" s="4" t="s">
        <v>45</v>
      </c>
      <c r="C296" s="5" t="s">
        <v>46</v>
      </c>
      <c r="D296" s="23" t="s">
        <v>14</v>
      </c>
      <c r="E296" s="18">
        <v>45872</v>
      </c>
      <c r="F296" s="18">
        <v>46519</v>
      </c>
      <c r="G296" s="6">
        <v>100</v>
      </c>
      <c r="H296" s="6">
        <f>SUMIF(Analysis_FEFO!$E$5:$E$174, A296, Analysis_FEFO!$G$5:$G$174)</f>
        <v>100</v>
      </c>
      <c r="I296" s="6">
        <f t="shared" si="36"/>
        <v>0</v>
      </c>
      <c r="J296" s="7">
        <v>89000</v>
      </c>
      <c r="K296" s="7">
        <f t="shared" si="32"/>
        <v>8900000</v>
      </c>
      <c r="L296" s="7">
        <f t="shared" si="37"/>
        <v>8900000</v>
      </c>
      <c r="M296" s="48">
        <f t="shared" ca="1" si="33"/>
        <v>197</v>
      </c>
      <c r="N296" s="6" t="str">
        <f t="shared" ca="1" si="38"/>
        <v>SAFE</v>
      </c>
      <c r="O296" s="29">
        <f t="shared" si="34"/>
        <v>0</v>
      </c>
      <c r="P296" s="38">
        <f t="shared" ca="1" si="39"/>
        <v>0</v>
      </c>
      <c r="Q296" s="4" t="str">
        <f t="shared" ca="1" si="35"/>
        <v>SAFE</v>
      </c>
      <c r="R296" s="30" t="str" cm="1">
        <f t="array" aca="1" ref="R296" ca="1">_xlfn.IFS(Q296="EXPIRED", "WRITE-OFF", Q296="WARNING", "FlASH SALE ", Q296="CRITICAL", "FEFO PRIORITY", Q296="SAFE", "REGULAR SALES")</f>
        <v>REGULAR SALES</v>
      </c>
    </row>
    <row r="297" spans="1:18" x14ac:dyDescent="0.25">
      <c r="A297" s="8" t="s">
        <v>320</v>
      </c>
      <c r="B297" s="8" t="s">
        <v>16</v>
      </c>
      <c r="C297" s="9" t="s">
        <v>17</v>
      </c>
      <c r="D297" s="24" t="s">
        <v>6</v>
      </c>
      <c r="E297" s="19">
        <v>46012</v>
      </c>
      <c r="F297" s="19">
        <v>46648</v>
      </c>
      <c r="G297" s="10">
        <v>500</v>
      </c>
      <c r="H297" s="6">
        <f>SUMIF(Analysis_FEFO!$E$5:$E$174, A297, Analysis_FEFO!$G$5:$G$174)</f>
        <v>0</v>
      </c>
      <c r="I297" s="6">
        <f t="shared" si="36"/>
        <v>500</v>
      </c>
      <c r="J297" s="11">
        <v>67000</v>
      </c>
      <c r="K297" s="11">
        <f t="shared" si="32"/>
        <v>33500000</v>
      </c>
      <c r="L297" s="7">
        <f t="shared" si="37"/>
        <v>0</v>
      </c>
      <c r="M297" s="48">
        <f t="shared" ca="1" si="33"/>
        <v>326</v>
      </c>
      <c r="N297" s="6" t="str">
        <f t="shared" ca="1" si="38"/>
        <v>SAFE</v>
      </c>
      <c r="O297" s="29">
        <f t="shared" si="34"/>
        <v>33500000</v>
      </c>
      <c r="P297" s="38">
        <f t="shared" ca="1" si="39"/>
        <v>0</v>
      </c>
      <c r="Q297" s="8" t="str">
        <f t="shared" ca="1" si="35"/>
        <v>SAFE</v>
      </c>
      <c r="R297" s="30" t="str" cm="1">
        <f t="array" aca="1" ref="R297" ca="1">_xlfn.IFS(Q297="EXPIRED", "WRITE-OFF", Q297="WARNING", "FlASH SALE ", Q297="CRITICAL", "FEFO PRIORITY", Q297="SAFE", "REGULAR SALES")</f>
        <v>REGULAR SALES</v>
      </c>
    </row>
    <row r="298" spans="1:18" x14ac:dyDescent="0.25">
      <c r="A298" s="4" t="s">
        <v>321</v>
      </c>
      <c r="B298" s="4" t="s">
        <v>12</v>
      </c>
      <c r="C298" s="5" t="s">
        <v>13</v>
      </c>
      <c r="D298" s="23" t="s">
        <v>14</v>
      </c>
      <c r="E298" s="18">
        <v>45916</v>
      </c>
      <c r="F298" s="18">
        <v>46645</v>
      </c>
      <c r="G298" s="6">
        <v>200</v>
      </c>
      <c r="H298" s="6">
        <f>SUMIF(Analysis_FEFO!$E$5:$E$174, A298, Analysis_FEFO!$G$5:$G$174)</f>
        <v>0</v>
      </c>
      <c r="I298" s="6">
        <f t="shared" si="36"/>
        <v>200</v>
      </c>
      <c r="J298" s="7">
        <v>29000</v>
      </c>
      <c r="K298" s="7">
        <f t="shared" si="32"/>
        <v>5800000</v>
      </c>
      <c r="L298" s="7">
        <f t="shared" si="37"/>
        <v>0</v>
      </c>
      <c r="M298" s="48">
        <f t="shared" ca="1" si="33"/>
        <v>323</v>
      </c>
      <c r="N298" s="6" t="str">
        <f t="shared" ca="1" si="38"/>
        <v>SAFE</v>
      </c>
      <c r="O298" s="29">
        <f t="shared" si="34"/>
        <v>5800000</v>
      </c>
      <c r="P298" s="38">
        <f t="shared" ca="1" si="39"/>
        <v>0</v>
      </c>
      <c r="Q298" s="4" t="str">
        <f t="shared" ca="1" si="35"/>
        <v>SAFE</v>
      </c>
      <c r="R298" s="30" t="str" cm="1">
        <f t="array" aca="1" ref="R298" ca="1">_xlfn.IFS(Q298="EXPIRED", "WRITE-OFF", Q298="WARNING", "FlASH SALE ", Q298="CRITICAL", "FEFO PRIORITY", Q298="SAFE", "REGULAR SALES")</f>
        <v>REGULAR SALES</v>
      </c>
    </row>
    <row r="299" spans="1:18" x14ac:dyDescent="0.25">
      <c r="A299" s="8" t="s">
        <v>322</v>
      </c>
      <c r="B299" s="8" t="s">
        <v>45</v>
      </c>
      <c r="C299" s="9" t="s">
        <v>46</v>
      </c>
      <c r="D299" s="24" t="s">
        <v>14</v>
      </c>
      <c r="E299" s="19">
        <v>46101</v>
      </c>
      <c r="F299" s="19">
        <v>46834</v>
      </c>
      <c r="G299" s="10">
        <v>300</v>
      </c>
      <c r="H299" s="6">
        <f>SUMIF(Analysis_FEFO!$E$5:$E$174, A299, Analysis_FEFO!$G$5:$G$174)</f>
        <v>0</v>
      </c>
      <c r="I299" s="6">
        <f t="shared" si="36"/>
        <v>300</v>
      </c>
      <c r="J299" s="11">
        <v>87000</v>
      </c>
      <c r="K299" s="11">
        <f t="shared" si="32"/>
        <v>26100000</v>
      </c>
      <c r="L299" s="7">
        <f t="shared" si="37"/>
        <v>0</v>
      </c>
      <c r="M299" s="48">
        <f t="shared" ca="1" si="33"/>
        <v>512</v>
      </c>
      <c r="N299" s="6" t="str">
        <f t="shared" ca="1" si="38"/>
        <v>SAFE</v>
      </c>
      <c r="O299" s="29">
        <f t="shared" si="34"/>
        <v>26100000</v>
      </c>
      <c r="P299" s="38">
        <f t="shared" ca="1" si="39"/>
        <v>0</v>
      </c>
      <c r="Q299" s="8" t="str">
        <f t="shared" ca="1" si="35"/>
        <v>SAFE</v>
      </c>
      <c r="R299" s="30" t="str" cm="1">
        <f t="array" aca="1" ref="R299" ca="1">_xlfn.IFS(Q299="EXPIRED", "WRITE-OFF", Q299="WARNING", "FlASH SALE ", Q299="CRITICAL", "FEFO PRIORITY", Q299="SAFE", "REGULAR SALES")</f>
        <v>REGULAR SALES</v>
      </c>
    </row>
    <row r="300" spans="1:18" x14ac:dyDescent="0.25">
      <c r="A300" s="4" t="s">
        <v>323</v>
      </c>
      <c r="B300" s="4" t="s">
        <v>12</v>
      </c>
      <c r="C300" s="5" t="s">
        <v>13</v>
      </c>
      <c r="D300" s="23" t="s">
        <v>14</v>
      </c>
      <c r="E300" s="18">
        <v>46053</v>
      </c>
      <c r="F300" s="18">
        <v>46553</v>
      </c>
      <c r="G300" s="6">
        <v>300</v>
      </c>
      <c r="H300" s="6">
        <f>SUMIF(Analysis_FEFO!$E$5:$E$174, A300, Analysis_FEFO!$G$5:$G$174)</f>
        <v>300</v>
      </c>
      <c r="I300" s="6">
        <f t="shared" si="36"/>
        <v>0</v>
      </c>
      <c r="J300" s="7">
        <v>33000</v>
      </c>
      <c r="K300" s="7">
        <f t="shared" si="32"/>
        <v>9900000</v>
      </c>
      <c r="L300" s="7">
        <f t="shared" si="37"/>
        <v>9900000</v>
      </c>
      <c r="M300" s="48">
        <f t="shared" ca="1" si="33"/>
        <v>231</v>
      </c>
      <c r="N300" s="6" t="str">
        <f t="shared" ca="1" si="38"/>
        <v>SAFE</v>
      </c>
      <c r="O300" s="29">
        <f t="shared" si="34"/>
        <v>0</v>
      </c>
      <c r="P300" s="38">
        <f t="shared" ca="1" si="39"/>
        <v>0</v>
      </c>
      <c r="Q300" s="4" t="str">
        <f t="shared" ca="1" si="35"/>
        <v>SAFE</v>
      </c>
      <c r="R300" s="30" t="str" cm="1">
        <f t="array" aca="1" ref="R300" ca="1">_xlfn.IFS(Q300="EXPIRED", "WRITE-OFF", Q300="WARNING", "FlASH SALE ", Q300="CRITICAL", "FEFO PRIORITY", Q300="SAFE", "REGULAR SALES")</f>
        <v>REGULAR SALES</v>
      </c>
    </row>
    <row r="301" spans="1:18" x14ac:dyDescent="0.25">
      <c r="A301" s="8" t="s">
        <v>324</v>
      </c>
      <c r="B301" s="8" t="s">
        <v>33</v>
      </c>
      <c r="C301" s="9" t="s">
        <v>34</v>
      </c>
      <c r="D301" s="24" t="s">
        <v>35</v>
      </c>
      <c r="E301" s="19">
        <v>46084</v>
      </c>
      <c r="F301" s="19">
        <v>46812</v>
      </c>
      <c r="G301" s="10">
        <v>300</v>
      </c>
      <c r="H301" s="6">
        <f>SUMIF(Analysis_FEFO!$E$5:$E$174, A301, Analysis_FEFO!$G$5:$G$174)</f>
        <v>0</v>
      </c>
      <c r="I301" s="6">
        <f t="shared" si="36"/>
        <v>300</v>
      </c>
      <c r="J301" s="11">
        <v>53000</v>
      </c>
      <c r="K301" s="11">
        <f t="shared" si="32"/>
        <v>15900000</v>
      </c>
      <c r="L301" s="7">
        <f t="shared" si="37"/>
        <v>0</v>
      </c>
      <c r="M301" s="48">
        <f t="shared" ca="1" si="33"/>
        <v>490</v>
      </c>
      <c r="N301" s="6" t="str">
        <f t="shared" ca="1" si="38"/>
        <v>SAFE</v>
      </c>
      <c r="O301" s="29">
        <f t="shared" si="34"/>
        <v>15900000</v>
      </c>
      <c r="P301" s="38">
        <f t="shared" ca="1" si="39"/>
        <v>0</v>
      </c>
      <c r="Q301" s="8" t="str">
        <f t="shared" ca="1" si="35"/>
        <v>SAFE</v>
      </c>
      <c r="R301" s="30" t="str" cm="1">
        <f t="array" aca="1" ref="R301" ca="1">_xlfn.IFS(Q301="EXPIRED", "WRITE-OFF", Q301="WARNING", "FlASH SALE ", Q301="CRITICAL", "FEFO PRIORITY", Q301="SAFE", "REGULAR SALES")</f>
        <v>REGULAR SALES</v>
      </c>
    </row>
    <row r="302" spans="1:18" x14ac:dyDescent="0.25">
      <c r="A302" s="4" t="s">
        <v>325</v>
      </c>
      <c r="B302" s="4" t="s">
        <v>45</v>
      </c>
      <c r="C302" s="5" t="s">
        <v>46</v>
      </c>
      <c r="D302" s="23" t="s">
        <v>14</v>
      </c>
      <c r="E302" s="18">
        <v>46093</v>
      </c>
      <c r="F302" s="18">
        <v>46641</v>
      </c>
      <c r="G302" s="6">
        <v>300</v>
      </c>
      <c r="H302" s="6">
        <f>SUMIF(Analysis_FEFO!$E$5:$E$174, A302, Analysis_FEFO!$G$5:$G$174)</f>
        <v>0</v>
      </c>
      <c r="I302" s="6">
        <f t="shared" si="36"/>
        <v>300</v>
      </c>
      <c r="J302" s="7">
        <v>86000</v>
      </c>
      <c r="K302" s="7">
        <f t="shared" si="32"/>
        <v>25800000</v>
      </c>
      <c r="L302" s="7">
        <f t="shared" si="37"/>
        <v>0</v>
      </c>
      <c r="M302" s="48">
        <f t="shared" ca="1" si="33"/>
        <v>319</v>
      </c>
      <c r="N302" s="6" t="str">
        <f t="shared" ca="1" si="38"/>
        <v>SAFE</v>
      </c>
      <c r="O302" s="29">
        <f t="shared" si="34"/>
        <v>25800000</v>
      </c>
      <c r="P302" s="38">
        <f t="shared" ca="1" si="39"/>
        <v>0</v>
      </c>
      <c r="Q302" s="4" t="str">
        <f t="shared" ca="1" si="35"/>
        <v>SAFE</v>
      </c>
      <c r="R302" s="30" t="str" cm="1">
        <f t="array" aca="1" ref="R302" ca="1">_xlfn.IFS(Q302="EXPIRED", "WRITE-OFF", Q302="WARNING", "FlASH SALE ", Q302="CRITICAL", "FEFO PRIORITY", Q302="SAFE", "REGULAR SALES")</f>
        <v>REGULAR SALES</v>
      </c>
    </row>
    <row r="303" spans="1:18" x14ac:dyDescent="0.25">
      <c r="A303" s="8" t="s">
        <v>326</v>
      </c>
      <c r="B303" s="8" t="s">
        <v>4</v>
      </c>
      <c r="C303" s="9" t="s">
        <v>5</v>
      </c>
      <c r="D303" s="24" t="s">
        <v>6</v>
      </c>
      <c r="E303" s="19">
        <v>46102</v>
      </c>
      <c r="F303" s="19">
        <v>46631</v>
      </c>
      <c r="G303" s="10">
        <v>250</v>
      </c>
      <c r="H303" s="6">
        <f>SUMIF(Analysis_FEFO!$E$5:$E$174, A303, Analysis_FEFO!$G$5:$G$174)</f>
        <v>0</v>
      </c>
      <c r="I303" s="6">
        <f t="shared" si="36"/>
        <v>250</v>
      </c>
      <c r="J303" s="11">
        <v>76000</v>
      </c>
      <c r="K303" s="11">
        <f t="shared" si="32"/>
        <v>19000000</v>
      </c>
      <c r="L303" s="7">
        <f t="shared" si="37"/>
        <v>0</v>
      </c>
      <c r="M303" s="48">
        <f t="shared" ca="1" si="33"/>
        <v>309</v>
      </c>
      <c r="N303" s="6" t="str">
        <f t="shared" ca="1" si="38"/>
        <v>SAFE</v>
      </c>
      <c r="O303" s="29">
        <f t="shared" si="34"/>
        <v>19000000</v>
      </c>
      <c r="P303" s="38">
        <f t="shared" ca="1" si="39"/>
        <v>0</v>
      </c>
      <c r="Q303" s="8" t="str">
        <f t="shared" ca="1" si="35"/>
        <v>SAFE</v>
      </c>
      <c r="R303" s="30" t="str" cm="1">
        <f t="array" aca="1" ref="R303" ca="1">_xlfn.IFS(Q303="EXPIRED", "WRITE-OFF", Q303="WARNING", "FlASH SALE ", Q303="CRITICAL", "FEFO PRIORITY", Q303="SAFE", "REGULAR SALES")</f>
        <v>REGULAR SALES</v>
      </c>
    </row>
    <row r="304" spans="1:18" x14ac:dyDescent="0.25">
      <c r="A304" s="4" t="s">
        <v>327</v>
      </c>
      <c r="B304" s="4" t="s">
        <v>33</v>
      </c>
      <c r="C304" s="5" t="s">
        <v>34</v>
      </c>
      <c r="D304" s="23" t="s">
        <v>35</v>
      </c>
      <c r="E304" s="18">
        <v>45816</v>
      </c>
      <c r="F304" s="18">
        <v>46521</v>
      </c>
      <c r="G304" s="6">
        <v>500</v>
      </c>
      <c r="H304" s="6">
        <f>SUMIF(Analysis_FEFO!$E$5:$E$174, A304, Analysis_FEFO!$G$5:$G$174)</f>
        <v>0</v>
      </c>
      <c r="I304" s="6">
        <f t="shared" si="36"/>
        <v>500</v>
      </c>
      <c r="J304" s="7">
        <v>57000</v>
      </c>
      <c r="K304" s="7">
        <f t="shared" si="32"/>
        <v>28500000</v>
      </c>
      <c r="L304" s="7">
        <f t="shared" si="37"/>
        <v>0</v>
      </c>
      <c r="M304" s="48">
        <f t="shared" ca="1" si="33"/>
        <v>199</v>
      </c>
      <c r="N304" s="6" t="str">
        <f t="shared" ca="1" si="38"/>
        <v>SAFE</v>
      </c>
      <c r="O304" s="29">
        <f t="shared" si="34"/>
        <v>28500000</v>
      </c>
      <c r="P304" s="38">
        <f t="shared" ca="1" si="39"/>
        <v>0</v>
      </c>
      <c r="Q304" s="4" t="str">
        <f t="shared" ca="1" si="35"/>
        <v>SAFE</v>
      </c>
      <c r="R304" s="30" t="str" cm="1">
        <f t="array" aca="1" ref="R304" ca="1">_xlfn.IFS(Q304="EXPIRED", "WRITE-OFF", Q304="WARNING", "FlASH SALE ", Q304="CRITICAL", "FEFO PRIORITY", Q304="SAFE", "REGULAR SALES")</f>
        <v>REGULAR SALES</v>
      </c>
    </row>
    <row r="305" spans="1:18" x14ac:dyDescent="0.25">
      <c r="A305" s="8" t="s">
        <v>328</v>
      </c>
      <c r="B305" s="8" t="s">
        <v>16</v>
      </c>
      <c r="C305" s="9" t="s">
        <v>17</v>
      </c>
      <c r="D305" s="24" t="s">
        <v>6</v>
      </c>
      <c r="E305" s="19">
        <v>45894</v>
      </c>
      <c r="F305" s="19">
        <v>46424</v>
      </c>
      <c r="G305" s="10">
        <v>500</v>
      </c>
      <c r="H305" s="6">
        <f>SUMIF(Analysis_FEFO!$E$5:$E$174, A305, Analysis_FEFO!$G$5:$G$174)</f>
        <v>500</v>
      </c>
      <c r="I305" s="6">
        <f t="shared" si="36"/>
        <v>0</v>
      </c>
      <c r="J305" s="11">
        <v>69000</v>
      </c>
      <c r="K305" s="11">
        <f t="shared" si="32"/>
        <v>34500000</v>
      </c>
      <c r="L305" s="7">
        <f t="shared" si="37"/>
        <v>34500000</v>
      </c>
      <c r="M305" s="48">
        <f t="shared" ca="1" si="33"/>
        <v>102</v>
      </c>
      <c r="N305" s="6" t="str">
        <f t="shared" ca="1" si="38"/>
        <v>SAFE</v>
      </c>
      <c r="O305" s="29">
        <f t="shared" si="34"/>
        <v>0</v>
      </c>
      <c r="P305" s="38">
        <f t="shared" ca="1" si="39"/>
        <v>0</v>
      </c>
      <c r="Q305" s="8" t="str">
        <f t="shared" ca="1" si="35"/>
        <v>WARNING</v>
      </c>
      <c r="R305" s="30" t="str" cm="1">
        <f t="array" aca="1" ref="R305" ca="1">_xlfn.IFS(Q305="EXPIRED", "WRITE-OFF", Q305="WARNING", "FlASH SALE ", Q305="CRITICAL", "FEFO PRIORITY", Q305="SAFE", "REGULAR SALES")</f>
        <v xml:space="preserve">FlASH SALE </v>
      </c>
    </row>
    <row r="306" spans="1:18" x14ac:dyDescent="0.25">
      <c r="A306" s="4" t="s">
        <v>329</v>
      </c>
      <c r="B306" s="4" t="s">
        <v>33</v>
      </c>
      <c r="C306" s="5" t="s">
        <v>34</v>
      </c>
      <c r="D306" s="23" t="s">
        <v>35</v>
      </c>
      <c r="E306" s="18">
        <v>45922</v>
      </c>
      <c r="F306" s="18">
        <v>46477</v>
      </c>
      <c r="G306" s="6">
        <v>750</v>
      </c>
      <c r="H306" s="6">
        <f>SUMIF(Analysis_FEFO!$E$5:$E$174, A306, Analysis_FEFO!$G$5:$G$174)</f>
        <v>0</v>
      </c>
      <c r="I306" s="6">
        <f t="shared" si="36"/>
        <v>750</v>
      </c>
      <c r="J306" s="7">
        <v>59000</v>
      </c>
      <c r="K306" s="7">
        <f t="shared" si="32"/>
        <v>44250000</v>
      </c>
      <c r="L306" s="7">
        <f t="shared" si="37"/>
        <v>0</v>
      </c>
      <c r="M306" s="48">
        <f t="shared" ca="1" si="33"/>
        <v>155</v>
      </c>
      <c r="N306" s="6" t="str">
        <f t="shared" ca="1" si="38"/>
        <v>SAFE</v>
      </c>
      <c r="O306" s="29">
        <f t="shared" si="34"/>
        <v>44250000</v>
      </c>
      <c r="P306" s="38">
        <f t="shared" ca="1" si="39"/>
        <v>0</v>
      </c>
      <c r="Q306" s="4" t="str">
        <f t="shared" ca="1" si="35"/>
        <v>WARNING</v>
      </c>
      <c r="R306" s="30" t="str" cm="1">
        <f t="array" aca="1" ref="R306" ca="1">_xlfn.IFS(Q306="EXPIRED", "WRITE-OFF", Q306="WARNING", "FlASH SALE ", Q306="CRITICAL", "FEFO PRIORITY", Q306="SAFE", "REGULAR SALES")</f>
        <v xml:space="preserve">FlASH SALE </v>
      </c>
    </row>
    <row r="307" spans="1:18" x14ac:dyDescent="0.25">
      <c r="A307" s="8" t="s">
        <v>330</v>
      </c>
      <c r="B307" s="8" t="s">
        <v>19</v>
      </c>
      <c r="C307" s="9" t="s">
        <v>20</v>
      </c>
      <c r="D307" s="24" t="s">
        <v>21</v>
      </c>
      <c r="E307" s="19">
        <v>45884</v>
      </c>
      <c r="F307" s="19">
        <v>46408</v>
      </c>
      <c r="G307" s="10">
        <v>300</v>
      </c>
      <c r="H307" s="6">
        <f>SUMIF(Analysis_FEFO!$E$5:$E$174, A307, Analysis_FEFO!$G$5:$G$174)</f>
        <v>300</v>
      </c>
      <c r="I307" s="6">
        <f t="shared" si="36"/>
        <v>0</v>
      </c>
      <c r="J307" s="11">
        <v>45000</v>
      </c>
      <c r="K307" s="11">
        <f t="shared" si="32"/>
        <v>13500000</v>
      </c>
      <c r="L307" s="7">
        <f t="shared" si="37"/>
        <v>13500000</v>
      </c>
      <c r="M307" s="48">
        <f t="shared" ca="1" si="33"/>
        <v>86</v>
      </c>
      <c r="N307" s="6" t="str">
        <f t="shared" ca="1" si="38"/>
        <v>SAFE</v>
      </c>
      <c r="O307" s="29">
        <f t="shared" si="34"/>
        <v>0</v>
      </c>
      <c r="P307" s="38">
        <f t="shared" ca="1" si="39"/>
        <v>0</v>
      </c>
      <c r="Q307" s="8" t="str">
        <f t="shared" ca="1" si="35"/>
        <v>WARNING</v>
      </c>
      <c r="R307" s="30" t="str" cm="1">
        <f t="array" aca="1" ref="R307" ca="1">_xlfn.IFS(Q307="EXPIRED", "WRITE-OFF", Q307="WARNING", "FlASH SALE ", Q307="CRITICAL", "FEFO PRIORITY", Q307="SAFE", "REGULAR SALES")</f>
        <v xml:space="preserve">FlASH SALE </v>
      </c>
    </row>
    <row r="308" spans="1:18" x14ac:dyDescent="0.25">
      <c r="A308" s="4" t="s">
        <v>331</v>
      </c>
      <c r="B308" s="4" t="s">
        <v>19</v>
      </c>
      <c r="C308" s="5" t="s">
        <v>20</v>
      </c>
      <c r="D308" s="23" t="s">
        <v>21</v>
      </c>
      <c r="E308" s="18">
        <v>45955</v>
      </c>
      <c r="F308" s="18">
        <v>46673</v>
      </c>
      <c r="G308" s="6">
        <v>250</v>
      </c>
      <c r="H308" s="6">
        <f>SUMIF(Analysis_FEFO!$E$5:$E$174, A308, Analysis_FEFO!$G$5:$G$174)</f>
        <v>0</v>
      </c>
      <c r="I308" s="6">
        <f t="shared" si="36"/>
        <v>250</v>
      </c>
      <c r="J308" s="7">
        <v>49000</v>
      </c>
      <c r="K308" s="7">
        <f t="shared" si="32"/>
        <v>12250000</v>
      </c>
      <c r="L308" s="7">
        <f t="shared" si="37"/>
        <v>0</v>
      </c>
      <c r="M308" s="48">
        <f t="shared" ca="1" si="33"/>
        <v>351</v>
      </c>
      <c r="N308" s="6" t="str">
        <f t="shared" ca="1" si="38"/>
        <v>SAFE</v>
      </c>
      <c r="O308" s="29">
        <f t="shared" si="34"/>
        <v>12250000</v>
      </c>
      <c r="P308" s="38">
        <f t="shared" ca="1" si="39"/>
        <v>0</v>
      </c>
      <c r="Q308" s="4" t="str">
        <f t="shared" ca="1" si="35"/>
        <v>SAFE</v>
      </c>
      <c r="R308" s="30" t="str" cm="1">
        <f t="array" aca="1" ref="R308" ca="1">_xlfn.IFS(Q308="EXPIRED", "WRITE-OFF", Q308="WARNING", "FlASH SALE ", Q308="CRITICAL", "FEFO PRIORITY", Q308="SAFE", "REGULAR SALES")</f>
        <v>REGULAR SALES</v>
      </c>
    </row>
    <row r="309" spans="1:18" x14ac:dyDescent="0.25">
      <c r="A309" s="8" t="s">
        <v>332</v>
      </c>
      <c r="B309" s="8" t="s">
        <v>45</v>
      </c>
      <c r="C309" s="9" t="s">
        <v>46</v>
      </c>
      <c r="D309" s="24" t="s">
        <v>14</v>
      </c>
      <c r="E309" s="19">
        <v>45898</v>
      </c>
      <c r="F309" s="19">
        <v>46519</v>
      </c>
      <c r="G309" s="10">
        <v>1000</v>
      </c>
      <c r="H309" s="6">
        <f>SUMIF(Analysis_FEFO!$E$5:$E$174, A309, Analysis_FEFO!$G$5:$G$174)</f>
        <v>1000</v>
      </c>
      <c r="I309" s="6">
        <f t="shared" si="36"/>
        <v>0</v>
      </c>
      <c r="J309" s="11">
        <v>90000</v>
      </c>
      <c r="K309" s="11">
        <f t="shared" si="32"/>
        <v>90000000</v>
      </c>
      <c r="L309" s="7">
        <f t="shared" si="37"/>
        <v>90000000</v>
      </c>
      <c r="M309" s="48">
        <f t="shared" ca="1" si="33"/>
        <v>197</v>
      </c>
      <c r="N309" s="6" t="str">
        <f t="shared" ca="1" si="38"/>
        <v>SAFE</v>
      </c>
      <c r="O309" s="29">
        <f t="shared" si="34"/>
        <v>0</v>
      </c>
      <c r="P309" s="38">
        <f t="shared" ca="1" si="39"/>
        <v>0</v>
      </c>
      <c r="Q309" s="8" t="str">
        <f t="shared" ca="1" si="35"/>
        <v>SAFE</v>
      </c>
      <c r="R309" s="30" t="str" cm="1">
        <f t="array" aca="1" ref="R309" ca="1">_xlfn.IFS(Q309="EXPIRED", "WRITE-OFF", Q309="WARNING", "FlASH SALE ", Q309="CRITICAL", "FEFO PRIORITY", Q309="SAFE", "REGULAR SALES")</f>
        <v>REGULAR SALES</v>
      </c>
    </row>
    <row r="310" spans="1:18" x14ac:dyDescent="0.25">
      <c r="A310" s="4" t="s">
        <v>333</v>
      </c>
      <c r="B310" s="4" t="s">
        <v>45</v>
      </c>
      <c r="C310" s="5" t="s">
        <v>46</v>
      </c>
      <c r="D310" s="23" t="s">
        <v>14</v>
      </c>
      <c r="E310" s="18">
        <v>45969</v>
      </c>
      <c r="F310" s="18">
        <v>46604</v>
      </c>
      <c r="G310" s="6">
        <v>500</v>
      </c>
      <c r="H310" s="6">
        <f>SUMIF(Analysis_FEFO!$E$5:$E$174, A310, Analysis_FEFO!$G$5:$G$174)</f>
        <v>350</v>
      </c>
      <c r="I310" s="6">
        <f t="shared" si="36"/>
        <v>150</v>
      </c>
      <c r="J310" s="7">
        <v>89000</v>
      </c>
      <c r="K310" s="7">
        <f t="shared" si="32"/>
        <v>44500000</v>
      </c>
      <c r="L310" s="7">
        <f t="shared" si="37"/>
        <v>31150000</v>
      </c>
      <c r="M310" s="48">
        <f t="shared" ca="1" si="33"/>
        <v>282</v>
      </c>
      <c r="N310" s="6" t="str">
        <f t="shared" ca="1" si="38"/>
        <v>SAFE</v>
      </c>
      <c r="O310" s="29">
        <f t="shared" si="34"/>
        <v>13350000</v>
      </c>
      <c r="P310" s="38">
        <f t="shared" ca="1" si="39"/>
        <v>0</v>
      </c>
      <c r="Q310" s="4" t="str">
        <f t="shared" ca="1" si="35"/>
        <v>SAFE</v>
      </c>
      <c r="R310" s="30" t="str" cm="1">
        <f t="array" aca="1" ref="R310" ca="1">_xlfn.IFS(Q310="EXPIRED", "WRITE-OFF", Q310="WARNING", "FlASH SALE ", Q310="CRITICAL", "FEFO PRIORITY", Q310="SAFE", "REGULAR SALES")</f>
        <v>REGULAR SALES</v>
      </c>
    </row>
    <row r="311" spans="1:18" x14ac:dyDescent="0.25">
      <c r="A311" s="8" t="s">
        <v>334</v>
      </c>
      <c r="B311" s="8" t="s">
        <v>45</v>
      </c>
      <c r="C311" s="9" t="s">
        <v>46</v>
      </c>
      <c r="D311" s="24" t="s">
        <v>14</v>
      </c>
      <c r="E311" s="19">
        <v>45906</v>
      </c>
      <c r="F311" s="19">
        <v>46539</v>
      </c>
      <c r="G311" s="10">
        <v>750</v>
      </c>
      <c r="H311" s="6">
        <f>SUMIF(Analysis_FEFO!$E$5:$E$174, A311, Analysis_FEFO!$G$5:$G$174)</f>
        <v>750</v>
      </c>
      <c r="I311" s="6">
        <f t="shared" si="36"/>
        <v>0</v>
      </c>
      <c r="J311" s="11">
        <v>87000</v>
      </c>
      <c r="K311" s="11">
        <f t="shared" si="32"/>
        <v>65250000</v>
      </c>
      <c r="L311" s="7">
        <f t="shared" si="37"/>
        <v>65250000</v>
      </c>
      <c r="M311" s="48">
        <f t="shared" ca="1" si="33"/>
        <v>217</v>
      </c>
      <c r="N311" s="6" t="str">
        <f t="shared" ca="1" si="38"/>
        <v>SAFE</v>
      </c>
      <c r="O311" s="29">
        <f t="shared" si="34"/>
        <v>0</v>
      </c>
      <c r="P311" s="38">
        <f t="shared" ca="1" si="39"/>
        <v>0</v>
      </c>
      <c r="Q311" s="8" t="str">
        <f t="shared" ca="1" si="35"/>
        <v>SAFE</v>
      </c>
      <c r="R311" s="30" t="str" cm="1">
        <f t="array" aca="1" ref="R311" ca="1">_xlfn.IFS(Q311="EXPIRED", "WRITE-OFF", Q311="WARNING", "FlASH SALE ", Q311="CRITICAL", "FEFO PRIORITY", Q311="SAFE", "REGULAR SALES")</f>
        <v>REGULAR SALES</v>
      </c>
    </row>
    <row r="312" spans="1:18" x14ac:dyDescent="0.25">
      <c r="A312" s="4" t="s">
        <v>335</v>
      </c>
      <c r="B312" s="4" t="s">
        <v>12</v>
      </c>
      <c r="C312" s="5" t="s">
        <v>13</v>
      </c>
      <c r="D312" s="23" t="s">
        <v>14</v>
      </c>
      <c r="E312" s="18">
        <v>45890</v>
      </c>
      <c r="F312" s="18">
        <v>46437</v>
      </c>
      <c r="G312" s="6">
        <v>250</v>
      </c>
      <c r="H312" s="6">
        <f>SUMIF(Analysis_FEFO!$E$5:$E$174, A312, Analysis_FEFO!$G$5:$G$174)</f>
        <v>0</v>
      </c>
      <c r="I312" s="6">
        <f t="shared" si="36"/>
        <v>250</v>
      </c>
      <c r="J312" s="7">
        <v>30000</v>
      </c>
      <c r="K312" s="7">
        <f t="shared" si="32"/>
        <v>7500000</v>
      </c>
      <c r="L312" s="7">
        <f t="shared" si="37"/>
        <v>0</v>
      </c>
      <c r="M312" s="48">
        <f t="shared" ca="1" si="33"/>
        <v>115</v>
      </c>
      <c r="N312" s="6" t="str">
        <f t="shared" ca="1" si="38"/>
        <v>SAFE</v>
      </c>
      <c r="O312" s="29">
        <f t="shared" si="34"/>
        <v>7500000</v>
      </c>
      <c r="P312" s="38">
        <f t="shared" ca="1" si="39"/>
        <v>0</v>
      </c>
      <c r="Q312" s="4" t="str">
        <f t="shared" ca="1" si="35"/>
        <v>WARNING</v>
      </c>
      <c r="R312" s="30" t="str" cm="1">
        <f t="array" aca="1" ref="R312" ca="1">_xlfn.IFS(Q312="EXPIRED", "WRITE-OFF", Q312="WARNING", "FlASH SALE ", Q312="CRITICAL", "FEFO PRIORITY", Q312="SAFE", "REGULAR SALES")</f>
        <v xml:space="preserve">FlASH SALE </v>
      </c>
    </row>
    <row r="313" spans="1:18" x14ac:dyDescent="0.25">
      <c r="A313" s="8" t="s">
        <v>336</v>
      </c>
      <c r="B313" s="8" t="s">
        <v>19</v>
      </c>
      <c r="C313" s="9" t="s">
        <v>20</v>
      </c>
      <c r="D313" s="24" t="s">
        <v>21</v>
      </c>
      <c r="E313" s="19">
        <v>45897</v>
      </c>
      <c r="F313" s="19">
        <v>46517</v>
      </c>
      <c r="G313" s="10">
        <v>250</v>
      </c>
      <c r="H313" s="6">
        <f>SUMIF(Analysis_FEFO!$E$5:$E$174, A313, Analysis_FEFO!$G$5:$G$174)</f>
        <v>0</v>
      </c>
      <c r="I313" s="6">
        <f t="shared" si="36"/>
        <v>250</v>
      </c>
      <c r="J313" s="11">
        <v>51000</v>
      </c>
      <c r="K313" s="11">
        <f t="shared" si="32"/>
        <v>12750000</v>
      </c>
      <c r="L313" s="7">
        <f t="shared" si="37"/>
        <v>0</v>
      </c>
      <c r="M313" s="48">
        <f t="shared" ca="1" si="33"/>
        <v>195</v>
      </c>
      <c r="N313" s="6" t="str">
        <f t="shared" ca="1" si="38"/>
        <v>SAFE</v>
      </c>
      <c r="O313" s="29">
        <f t="shared" si="34"/>
        <v>12750000</v>
      </c>
      <c r="P313" s="38">
        <f t="shared" ca="1" si="39"/>
        <v>0</v>
      </c>
      <c r="Q313" s="8" t="str">
        <f t="shared" ca="1" si="35"/>
        <v>SAFE</v>
      </c>
      <c r="R313" s="30" t="str" cm="1">
        <f t="array" aca="1" ref="R313" ca="1">_xlfn.IFS(Q313="EXPIRED", "WRITE-OFF", Q313="WARNING", "FlASH SALE ", Q313="CRITICAL", "FEFO PRIORITY", Q313="SAFE", "REGULAR SALES")</f>
        <v>REGULAR SALES</v>
      </c>
    </row>
    <row r="314" spans="1:18" x14ac:dyDescent="0.25">
      <c r="A314" s="4" t="s">
        <v>337</v>
      </c>
      <c r="B314" s="4" t="s">
        <v>16</v>
      </c>
      <c r="C314" s="5" t="s">
        <v>17</v>
      </c>
      <c r="D314" s="23" t="s">
        <v>6</v>
      </c>
      <c r="E314" s="18">
        <v>45901</v>
      </c>
      <c r="F314" s="18">
        <v>46537</v>
      </c>
      <c r="G314" s="6">
        <v>300</v>
      </c>
      <c r="H314" s="6">
        <f>SUMIF(Analysis_FEFO!$E$5:$E$174, A314, Analysis_FEFO!$G$5:$G$174)</f>
        <v>0</v>
      </c>
      <c r="I314" s="6">
        <f t="shared" si="36"/>
        <v>300</v>
      </c>
      <c r="J314" s="7">
        <v>62000</v>
      </c>
      <c r="K314" s="7">
        <f t="shared" si="32"/>
        <v>18600000</v>
      </c>
      <c r="L314" s="7">
        <f t="shared" si="37"/>
        <v>0</v>
      </c>
      <c r="M314" s="48">
        <f t="shared" ca="1" si="33"/>
        <v>215</v>
      </c>
      <c r="N314" s="6" t="str">
        <f t="shared" ca="1" si="38"/>
        <v>SAFE</v>
      </c>
      <c r="O314" s="29">
        <f t="shared" si="34"/>
        <v>18600000</v>
      </c>
      <c r="P314" s="38">
        <f t="shared" ca="1" si="39"/>
        <v>0</v>
      </c>
      <c r="Q314" s="4" t="str">
        <f t="shared" ca="1" si="35"/>
        <v>SAFE</v>
      </c>
      <c r="R314" s="30" t="str" cm="1">
        <f t="array" aca="1" ref="R314" ca="1">_xlfn.IFS(Q314="EXPIRED", "WRITE-OFF", Q314="WARNING", "FlASH SALE ", Q314="CRITICAL", "FEFO PRIORITY", Q314="SAFE", "REGULAR SALES")</f>
        <v>REGULAR SALES</v>
      </c>
    </row>
    <row r="315" spans="1:18" x14ac:dyDescent="0.25">
      <c r="A315" s="8" t="s">
        <v>338</v>
      </c>
      <c r="B315" s="8" t="s">
        <v>12</v>
      </c>
      <c r="C315" s="9" t="s">
        <v>13</v>
      </c>
      <c r="D315" s="24" t="s">
        <v>14</v>
      </c>
      <c r="E315" s="19">
        <v>46075</v>
      </c>
      <c r="F315" s="19">
        <v>46433</v>
      </c>
      <c r="G315" s="10">
        <v>300</v>
      </c>
      <c r="H315" s="6">
        <f>SUMIF(Analysis_FEFO!$E$5:$E$174, A315, Analysis_FEFO!$G$5:$G$174)</f>
        <v>0</v>
      </c>
      <c r="I315" s="6">
        <f t="shared" si="36"/>
        <v>300</v>
      </c>
      <c r="J315" s="11">
        <v>29000</v>
      </c>
      <c r="K315" s="11">
        <f t="shared" si="32"/>
        <v>8700000</v>
      </c>
      <c r="L315" s="7">
        <f t="shared" si="37"/>
        <v>0</v>
      </c>
      <c r="M315" s="48">
        <f t="shared" ca="1" si="33"/>
        <v>111</v>
      </c>
      <c r="N315" s="6" t="str">
        <f t="shared" ca="1" si="38"/>
        <v>SAFE</v>
      </c>
      <c r="O315" s="29">
        <f t="shared" si="34"/>
        <v>8700000</v>
      </c>
      <c r="P315" s="38">
        <f t="shared" ca="1" si="39"/>
        <v>0</v>
      </c>
      <c r="Q315" s="8" t="str">
        <f t="shared" ca="1" si="35"/>
        <v>WARNING</v>
      </c>
      <c r="R315" s="30" t="str" cm="1">
        <f t="array" aca="1" ref="R315" ca="1">_xlfn.IFS(Q315="EXPIRED", "WRITE-OFF", Q315="WARNING", "FlASH SALE ", Q315="CRITICAL", "FEFO PRIORITY", Q315="SAFE", "REGULAR SALES")</f>
        <v xml:space="preserve">FlASH SALE </v>
      </c>
    </row>
    <row r="316" spans="1:18" x14ac:dyDescent="0.25">
      <c r="A316" s="4" t="s">
        <v>339</v>
      </c>
      <c r="B316" s="4" t="s">
        <v>45</v>
      </c>
      <c r="C316" s="5" t="s">
        <v>46</v>
      </c>
      <c r="D316" s="23" t="s">
        <v>14</v>
      </c>
      <c r="E316" s="18">
        <v>45811</v>
      </c>
      <c r="F316" s="18">
        <v>46528</v>
      </c>
      <c r="G316" s="6">
        <v>300</v>
      </c>
      <c r="H316" s="6">
        <f>SUMIF(Analysis_FEFO!$E$5:$E$174, A316, Analysis_FEFO!$G$5:$G$174)</f>
        <v>300</v>
      </c>
      <c r="I316" s="6">
        <f t="shared" si="36"/>
        <v>0</v>
      </c>
      <c r="J316" s="7">
        <v>90000</v>
      </c>
      <c r="K316" s="7">
        <f t="shared" si="32"/>
        <v>27000000</v>
      </c>
      <c r="L316" s="7">
        <f t="shared" si="37"/>
        <v>27000000</v>
      </c>
      <c r="M316" s="48">
        <f t="shared" ca="1" si="33"/>
        <v>206</v>
      </c>
      <c r="N316" s="6" t="str">
        <f t="shared" ca="1" si="38"/>
        <v>SAFE</v>
      </c>
      <c r="O316" s="29">
        <f t="shared" si="34"/>
        <v>0</v>
      </c>
      <c r="P316" s="38">
        <f t="shared" ca="1" si="39"/>
        <v>0</v>
      </c>
      <c r="Q316" s="4" t="str">
        <f t="shared" ca="1" si="35"/>
        <v>SAFE</v>
      </c>
      <c r="R316" s="30" t="str" cm="1">
        <f t="array" aca="1" ref="R316" ca="1">_xlfn.IFS(Q316="EXPIRED", "WRITE-OFF", Q316="WARNING", "FlASH SALE ", Q316="CRITICAL", "FEFO PRIORITY", Q316="SAFE", "REGULAR SALES")</f>
        <v>REGULAR SALES</v>
      </c>
    </row>
    <row r="317" spans="1:18" x14ac:dyDescent="0.25">
      <c r="A317" s="8" t="s">
        <v>340</v>
      </c>
      <c r="B317" s="8" t="s">
        <v>16</v>
      </c>
      <c r="C317" s="9" t="s">
        <v>17</v>
      </c>
      <c r="D317" s="24" t="s">
        <v>6</v>
      </c>
      <c r="E317" s="19">
        <v>46029</v>
      </c>
      <c r="F317" s="19">
        <v>46660</v>
      </c>
      <c r="G317" s="10">
        <v>200</v>
      </c>
      <c r="H317" s="6">
        <f>SUMIF(Analysis_FEFO!$E$5:$E$174, A317, Analysis_FEFO!$G$5:$G$174)</f>
        <v>0</v>
      </c>
      <c r="I317" s="6">
        <f t="shared" si="36"/>
        <v>200</v>
      </c>
      <c r="J317" s="11">
        <v>64000</v>
      </c>
      <c r="K317" s="11">
        <f t="shared" si="32"/>
        <v>12800000</v>
      </c>
      <c r="L317" s="7">
        <f t="shared" si="37"/>
        <v>0</v>
      </c>
      <c r="M317" s="48">
        <f t="shared" ca="1" si="33"/>
        <v>338</v>
      </c>
      <c r="N317" s="6" t="str">
        <f t="shared" ca="1" si="38"/>
        <v>SAFE</v>
      </c>
      <c r="O317" s="29">
        <f t="shared" si="34"/>
        <v>12800000</v>
      </c>
      <c r="P317" s="38">
        <f t="shared" ca="1" si="39"/>
        <v>0</v>
      </c>
      <c r="Q317" s="8" t="str">
        <f t="shared" ca="1" si="35"/>
        <v>SAFE</v>
      </c>
      <c r="R317" s="30" t="str" cm="1">
        <f t="array" aca="1" ref="R317" ca="1">_xlfn.IFS(Q317="EXPIRED", "WRITE-OFF", Q317="WARNING", "FlASH SALE ", Q317="CRITICAL", "FEFO PRIORITY", Q317="SAFE", "REGULAR SALES")</f>
        <v>REGULAR SALES</v>
      </c>
    </row>
    <row r="318" spans="1:18" x14ac:dyDescent="0.25">
      <c r="A318" s="4" t="s">
        <v>341</v>
      </c>
      <c r="B318" s="4" t="s">
        <v>53</v>
      </c>
      <c r="C318" s="5" t="s">
        <v>54</v>
      </c>
      <c r="D318" s="23" t="s">
        <v>35</v>
      </c>
      <c r="E318" s="18">
        <v>46079</v>
      </c>
      <c r="F318" s="18">
        <v>46356</v>
      </c>
      <c r="G318" s="6">
        <v>500</v>
      </c>
      <c r="H318" s="6">
        <f>SUMIF(Analysis_FEFO!$E$5:$E$174, A318, Analysis_FEFO!$G$5:$G$174)</f>
        <v>0</v>
      </c>
      <c r="I318" s="6">
        <f t="shared" si="36"/>
        <v>500</v>
      </c>
      <c r="J318" s="7">
        <v>49000</v>
      </c>
      <c r="K318" s="7">
        <f t="shared" si="32"/>
        <v>24500000</v>
      </c>
      <c r="L318" s="7">
        <f t="shared" si="37"/>
        <v>0</v>
      </c>
      <c r="M318" s="48">
        <f t="shared" ca="1" si="33"/>
        <v>34</v>
      </c>
      <c r="N318" s="6" t="str">
        <f t="shared" ca="1" si="38"/>
        <v>SAFE</v>
      </c>
      <c r="O318" s="29">
        <f t="shared" si="34"/>
        <v>24500000</v>
      </c>
      <c r="P318" s="38">
        <f t="shared" ca="1" si="39"/>
        <v>24500000</v>
      </c>
      <c r="Q318" s="4" t="str">
        <f t="shared" ca="1" si="35"/>
        <v>CRITICAL</v>
      </c>
      <c r="R318" s="30" t="str" cm="1">
        <f t="array" aca="1" ref="R318" ca="1">_xlfn.IFS(Q318="EXPIRED", "WRITE-OFF", Q318="WARNING", "FlASH SALE ", Q318="CRITICAL", "FEFO PRIORITY", Q318="SAFE", "REGULAR SALES")</f>
        <v>FEFO PRIORITY</v>
      </c>
    </row>
    <row r="319" spans="1:18" x14ac:dyDescent="0.25">
      <c r="A319" s="8" t="s">
        <v>342</v>
      </c>
      <c r="B319" s="8" t="s">
        <v>16</v>
      </c>
      <c r="C319" s="9" t="s">
        <v>17</v>
      </c>
      <c r="D319" s="24" t="s">
        <v>6</v>
      </c>
      <c r="E319" s="19">
        <v>45915</v>
      </c>
      <c r="F319" s="19">
        <v>46369</v>
      </c>
      <c r="G319" s="10">
        <v>100</v>
      </c>
      <c r="H319" s="6">
        <f>SUMIF(Analysis_FEFO!$E$5:$E$174, A319, Analysis_FEFO!$G$5:$G$174)</f>
        <v>100</v>
      </c>
      <c r="I319" s="6">
        <f t="shared" si="36"/>
        <v>0</v>
      </c>
      <c r="J319" s="11">
        <v>68000</v>
      </c>
      <c r="K319" s="11">
        <f t="shared" si="32"/>
        <v>6800000</v>
      </c>
      <c r="L319" s="7">
        <f t="shared" si="37"/>
        <v>6800000</v>
      </c>
      <c r="M319" s="48">
        <f t="shared" ca="1" si="33"/>
        <v>47</v>
      </c>
      <c r="N319" s="6" t="str">
        <f t="shared" ca="1" si="38"/>
        <v>SAFE</v>
      </c>
      <c r="O319" s="29">
        <f t="shared" si="34"/>
        <v>0</v>
      </c>
      <c r="P319" s="38">
        <f t="shared" ca="1" si="39"/>
        <v>0</v>
      </c>
      <c r="Q319" s="8" t="str">
        <f t="shared" ca="1" si="35"/>
        <v>CRITICAL</v>
      </c>
      <c r="R319" s="30" t="str" cm="1">
        <f t="array" aca="1" ref="R319" ca="1">_xlfn.IFS(Q319="EXPIRED", "WRITE-OFF", Q319="WARNING", "FlASH SALE ", Q319="CRITICAL", "FEFO PRIORITY", Q319="SAFE", "REGULAR SALES")</f>
        <v>FEFO PRIORITY</v>
      </c>
    </row>
    <row r="320" spans="1:18" x14ac:dyDescent="0.25">
      <c r="A320" s="4" t="s">
        <v>343</v>
      </c>
      <c r="B320" s="4" t="s">
        <v>53</v>
      </c>
      <c r="C320" s="5" t="s">
        <v>54</v>
      </c>
      <c r="D320" s="23" t="s">
        <v>35</v>
      </c>
      <c r="E320" s="18">
        <v>46011</v>
      </c>
      <c r="F320" s="18">
        <v>46634</v>
      </c>
      <c r="G320" s="6">
        <v>750</v>
      </c>
      <c r="H320" s="6">
        <f>SUMIF(Analysis_FEFO!$E$5:$E$174, A320, Analysis_FEFO!$G$5:$G$174)</f>
        <v>750</v>
      </c>
      <c r="I320" s="6">
        <f t="shared" si="36"/>
        <v>0</v>
      </c>
      <c r="J320" s="7">
        <v>53000</v>
      </c>
      <c r="K320" s="7">
        <f t="shared" si="32"/>
        <v>39750000</v>
      </c>
      <c r="L320" s="7">
        <f t="shared" si="37"/>
        <v>39750000</v>
      </c>
      <c r="M320" s="48">
        <f t="shared" ca="1" si="33"/>
        <v>312</v>
      </c>
      <c r="N320" s="6" t="str">
        <f t="shared" ca="1" si="38"/>
        <v>SAFE</v>
      </c>
      <c r="O320" s="29">
        <f t="shared" si="34"/>
        <v>0</v>
      </c>
      <c r="P320" s="38">
        <f t="shared" ca="1" si="39"/>
        <v>0</v>
      </c>
      <c r="Q320" s="4" t="str">
        <f t="shared" ca="1" si="35"/>
        <v>SAFE</v>
      </c>
      <c r="R320" s="30" t="str" cm="1">
        <f t="array" aca="1" ref="R320" ca="1">_xlfn.IFS(Q320="EXPIRED", "WRITE-OFF", Q320="WARNING", "FlASH SALE ", Q320="CRITICAL", "FEFO PRIORITY", Q320="SAFE", "REGULAR SALES")</f>
        <v>REGULAR SALES</v>
      </c>
    </row>
    <row r="321" spans="1:18" x14ac:dyDescent="0.25">
      <c r="A321" s="8" t="s">
        <v>344</v>
      </c>
      <c r="B321" s="8" t="s">
        <v>8</v>
      </c>
      <c r="C321" s="9" t="s">
        <v>9</v>
      </c>
      <c r="D321" s="24" t="s">
        <v>10</v>
      </c>
      <c r="E321" s="19">
        <v>46098</v>
      </c>
      <c r="F321" s="19">
        <v>46631</v>
      </c>
      <c r="G321" s="10">
        <v>200</v>
      </c>
      <c r="H321" s="6">
        <f>SUMIF(Analysis_FEFO!$E$5:$E$174, A321, Analysis_FEFO!$G$5:$G$174)</f>
        <v>0</v>
      </c>
      <c r="I321" s="6">
        <f t="shared" si="36"/>
        <v>200</v>
      </c>
      <c r="J321" s="11">
        <v>35000</v>
      </c>
      <c r="K321" s="11">
        <f t="shared" si="32"/>
        <v>7000000</v>
      </c>
      <c r="L321" s="7">
        <f t="shared" si="37"/>
        <v>0</v>
      </c>
      <c r="M321" s="48">
        <f t="shared" ca="1" si="33"/>
        <v>309</v>
      </c>
      <c r="N321" s="6" t="str">
        <f t="shared" ca="1" si="38"/>
        <v>SAFE</v>
      </c>
      <c r="O321" s="29">
        <f t="shared" si="34"/>
        <v>7000000</v>
      </c>
      <c r="P321" s="38">
        <f t="shared" ca="1" si="39"/>
        <v>0</v>
      </c>
      <c r="Q321" s="8" t="str">
        <f t="shared" ca="1" si="35"/>
        <v>SAFE</v>
      </c>
      <c r="R321" s="30" t="str" cm="1">
        <f t="array" aca="1" ref="R321" ca="1">_xlfn.IFS(Q321="EXPIRED", "WRITE-OFF", Q321="WARNING", "FlASH SALE ", Q321="CRITICAL", "FEFO PRIORITY", Q321="SAFE", "REGULAR SALES")</f>
        <v>REGULAR SALES</v>
      </c>
    </row>
    <row r="322" spans="1:18" x14ac:dyDescent="0.25">
      <c r="A322" s="4" t="s">
        <v>345</v>
      </c>
      <c r="B322" s="4" t="s">
        <v>8</v>
      </c>
      <c r="C322" s="5" t="s">
        <v>9</v>
      </c>
      <c r="D322" s="23" t="s">
        <v>10</v>
      </c>
      <c r="E322" s="18">
        <v>45944</v>
      </c>
      <c r="F322" s="18">
        <v>46567</v>
      </c>
      <c r="G322" s="6">
        <v>500</v>
      </c>
      <c r="H322" s="6">
        <f>SUMIF(Analysis_FEFO!$E$5:$E$174, A322, Analysis_FEFO!$G$5:$G$174)</f>
        <v>0</v>
      </c>
      <c r="I322" s="6">
        <f t="shared" si="36"/>
        <v>500</v>
      </c>
      <c r="J322" s="7">
        <v>33000</v>
      </c>
      <c r="K322" s="7">
        <f t="shared" si="32"/>
        <v>16500000</v>
      </c>
      <c r="L322" s="7">
        <f t="shared" si="37"/>
        <v>0</v>
      </c>
      <c r="M322" s="48">
        <f t="shared" ca="1" si="33"/>
        <v>245</v>
      </c>
      <c r="N322" s="6" t="str">
        <f t="shared" ca="1" si="38"/>
        <v>SAFE</v>
      </c>
      <c r="O322" s="29">
        <f t="shared" si="34"/>
        <v>16500000</v>
      </c>
      <c r="P322" s="38">
        <f t="shared" ca="1" si="39"/>
        <v>0</v>
      </c>
      <c r="Q322" s="4" t="str">
        <f t="shared" ca="1" si="35"/>
        <v>SAFE</v>
      </c>
      <c r="R322" s="30" t="str" cm="1">
        <f t="array" aca="1" ref="R322" ca="1">_xlfn.IFS(Q322="EXPIRED", "WRITE-OFF", Q322="WARNING", "FlASH SALE ", Q322="CRITICAL", "FEFO PRIORITY", Q322="SAFE", "REGULAR SALES")</f>
        <v>REGULAR SALES</v>
      </c>
    </row>
    <row r="323" spans="1:18" x14ac:dyDescent="0.25">
      <c r="A323" s="8" t="s">
        <v>346</v>
      </c>
      <c r="B323" s="8" t="s">
        <v>19</v>
      </c>
      <c r="C323" s="9" t="s">
        <v>20</v>
      </c>
      <c r="D323" s="24" t="s">
        <v>21</v>
      </c>
      <c r="E323" s="19">
        <v>45885</v>
      </c>
      <c r="F323" s="19">
        <v>46529</v>
      </c>
      <c r="G323" s="10">
        <v>300</v>
      </c>
      <c r="H323" s="6">
        <f>SUMIF(Analysis_FEFO!$E$5:$E$174, A323, Analysis_FEFO!$G$5:$G$174)</f>
        <v>0</v>
      </c>
      <c r="I323" s="6">
        <f t="shared" si="36"/>
        <v>300</v>
      </c>
      <c r="J323" s="11">
        <v>51000</v>
      </c>
      <c r="K323" s="11">
        <f t="shared" si="32"/>
        <v>15300000</v>
      </c>
      <c r="L323" s="7">
        <f t="shared" si="37"/>
        <v>0</v>
      </c>
      <c r="M323" s="48">
        <f t="shared" ca="1" si="33"/>
        <v>207</v>
      </c>
      <c r="N323" s="6" t="str">
        <f t="shared" ca="1" si="38"/>
        <v>SAFE</v>
      </c>
      <c r="O323" s="29">
        <f t="shared" si="34"/>
        <v>15300000</v>
      </c>
      <c r="P323" s="38">
        <f t="shared" ca="1" si="39"/>
        <v>0</v>
      </c>
      <c r="Q323" s="8" t="str">
        <f t="shared" ca="1" si="35"/>
        <v>SAFE</v>
      </c>
      <c r="R323" s="30" t="str" cm="1">
        <f t="array" aca="1" ref="R323" ca="1">_xlfn.IFS(Q323="EXPIRED", "WRITE-OFF", Q323="WARNING", "FlASH SALE ", Q323="CRITICAL", "FEFO PRIORITY", Q323="SAFE", "REGULAR SALES")</f>
        <v>REGULAR SALES</v>
      </c>
    </row>
    <row r="324" spans="1:18" x14ac:dyDescent="0.25">
      <c r="A324" s="4" t="s">
        <v>347</v>
      </c>
      <c r="B324" s="4" t="s">
        <v>33</v>
      </c>
      <c r="C324" s="5" t="s">
        <v>34</v>
      </c>
      <c r="D324" s="23" t="s">
        <v>35</v>
      </c>
      <c r="E324" s="18">
        <v>45847</v>
      </c>
      <c r="F324" s="18">
        <v>46563</v>
      </c>
      <c r="G324" s="6">
        <v>200</v>
      </c>
      <c r="H324" s="6">
        <f>SUMIF(Analysis_FEFO!$E$5:$E$174, A324, Analysis_FEFO!$G$5:$G$174)</f>
        <v>0</v>
      </c>
      <c r="I324" s="6">
        <f t="shared" si="36"/>
        <v>200</v>
      </c>
      <c r="J324" s="7">
        <v>52000</v>
      </c>
      <c r="K324" s="7">
        <f t="shared" si="32"/>
        <v>10400000</v>
      </c>
      <c r="L324" s="7">
        <f t="shared" si="37"/>
        <v>0</v>
      </c>
      <c r="M324" s="48">
        <f t="shared" ca="1" si="33"/>
        <v>241</v>
      </c>
      <c r="N324" s="6" t="str">
        <f t="shared" ca="1" si="38"/>
        <v>SAFE</v>
      </c>
      <c r="O324" s="29">
        <f t="shared" si="34"/>
        <v>10400000</v>
      </c>
      <c r="P324" s="38">
        <f t="shared" ca="1" si="39"/>
        <v>0</v>
      </c>
      <c r="Q324" s="4" t="str">
        <f t="shared" ca="1" si="35"/>
        <v>SAFE</v>
      </c>
      <c r="R324" s="30" t="str" cm="1">
        <f t="array" aca="1" ref="R324" ca="1">_xlfn.IFS(Q324="EXPIRED", "WRITE-OFF", Q324="WARNING", "FlASH SALE ", Q324="CRITICAL", "FEFO PRIORITY", Q324="SAFE", "REGULAR SALES")</f>
        <v>REGULAR SALES</v>
      </c>
    </row>
    <row r="325" spans="1:18" x14ac:dyDescent="0.25">
      <c r="A325" s="8" t="s">
        <v>348</v>
      </c>
      <c r="B325" s="8" t="s">
        <v>33</v>
      </c>
      <c r="C325" s="9" t="s">
        <v>34</v>
      </c>
      <c r="D325" s="24" t="s">
        <v>35</v>
      </c>
      <c r="E325" s="19">
        <v>46106</v>
      </c>
      <c r="F325" s="19">
        <v>46830</v>
      </c>
      <c r="G325" s="10">
        <v>250</v>
      </c>
      <c r="H325" s="6">
        <f>SUMIF(Analysis_FEFO!$E$5:$E$174, A325, Analysis_FEFO!$G$5:$G$174)</f>
        <v>0</v>
      </c>
      <c r="I325" s="6">
        <f t="shared" si="36"/>
        <v>250</v>
      </c>
      <c r="J325" s="11">
        <v>58000</v>
      </c>
      <c r="K325" s="11">
        <f t="shared" si="32"/>
        <v>14500000</v>
      </c>
      <c r="L325" s="7">
        <f t="shared" si="37"/>
        <v>0</v>
      </c>
      <c r="M325" s="48">
        <f t="shared" ca="1" si="33"/>
        <v>508</v>
      </c>
      <c r="N325" s="6" t="str">
        <f t="shared" ca="1" si="38"/>
        <v>SAFE</v>
      </c>
      <c r="O325" s="29">
        <f t="shared" si="34"/>
        <v>14500000</v>
      </c>
      <c r="P325" s="38">
        <f t="shared" ca="1" si="39"/>
        <v>0</v>
      </c>
      <c r="Q325" s="8" t="str">
        <f t="shared" ca="1" si="35"/>
        <v>SAFE</v>
      </c>
      <c r="R325" s="30" t="str" cm="1">
        <f t="array" aca="1" ref="R325" ca="1">_xlfn.IFS(Q325="EXPIRED", "WRITE-OFF", Q325="WARNING", "FlASH SALE ", Q325="CRITICAL", "FEFO PRIORITY", Q325="SAFE", "REGULAR SALES")</f>
        <v>REGULAR SALES</v>
      </c>
    </row>
    <row r="326" spans="1:18" ht="15.75" thickBot="1" x14ac:dyDescent="0.3">
      <c r="A326" s="84" t="s">
        <v>349</v>
      </c>
      <c r="B326" s="84"/>
      <c r="C326" s="84"/>
      <c r="D326" s="84"/>
      <c r="E326" s="84"/>
      <c r="F326" s="84"/>
      <c r="G326" s="31">
        <f>SUM(G6:G325)</f>
        <v>114800</v>
      </c>
      <c r="H326" s="31">
        <f>SUM(H1:H325)</f>
        <v>36950</v>
      </c>
      <c r="I326" s="31">
        <f>SUM(I1:I325)</f>
        <v>77850</v>
      </c>
      <c r="J326" s="32"/>
      <c r="K326" s="33">
        <f>SUM(K6:K325)</f>
        <v>6243600000</v>
      </c>
      <c r="L326" s="33">
        <f>SUM(L1:L325)</f>
        <v>2033050000</v>
      </c>
      <c r="M326" s="49"/>
      <c r="N326" s="32"/>
      <c r="O326" s="34">
        <f>SUM(O6:O325)</f>
        <v>4210550000</v>
      </c>
      <c r="P326" s="39">
        <f ca="1">SUM(P6:P325)</f>
        <v>776450000</v>
      </c>
      <c r="Q326" s="32"/>
      <c r="R326" s="35"/>
    </row>
    <row r="327" spans="1:18" ht="15.75" thickTop="1" x14ac:dyDescent="0.25"/>
  </sheetData>
  <mergeCells count="2">
    <mergeCell ref="A326:F326"/>
    <mergeCell ref="A3:C3"/>
  </mergeCells>
  <conditionalFormatting sqref="N1:N1048576">
    <cfRule type="containsText" dxfId="14" priority="1" operator="containsText" text="expiring soon">
      <formula>NOT(ISERROR(SEARCH("expiring soon",N1)))</formula>
    </cfRule>
  </conditionalFormatting>
  <conditionalFormatting sqref="N6:N325">
    <cfRule type="containsText" dxfId="13" priority="2" operator="containsText" text="expireing soon">
      <formula>NOT(ISERROR(SEARCH("expireing soon",N6)))</formula>
    </cfRule>
  </conditionalFormatting>
  <conditionalFormatting sqref="Q1:Q1048576">
    <cfRule type="containsText" dxfId="12" priority="8" operator="containsText" text="EXPIRED">
      <formula>NOT(ISERROR(SEARCH("EXPIRED",Q1)))</formula>
    </cfRule>
    <cfRule type="containsText" dxfId="11" priority="9" operator="containsText" text="WARNING">
      <formula>NOT(ISERROR(SEARCH("WARNING",Q1)))</formula>
    </cfRule>
    <cfRule type="containsText" dxfId="10" priority="10" operator="containsText" text="CRITICAL">
      <formula>NOT(ISERROR(SEARCH("CRITICAL",Q1)))</formula>
    </cfRule>
    <cfRule type="containsText" dxfId="9" priority="11" operator="containsText" text="SAFE">
      <formula>NOT(ISERROR(SEARCH("SAFE",Q1)))</formula>
    </cfRule>
  </conditionalFormatting>
  <conditionalFormatting sqref="R1:R1048576">
    <cfRule type="containsText" dxfId="8" priority="3" operator="containsText" text="FEFO ">
      <formula>NOT(ISERROR(SEARCH("FEFO ",R1)))</formula>
    </cfRule>
    <cfRule type="containsText" dxfId="7" priority="4" operator="containsText" text="WRITE-OFF">
      <formula>NOT(ISERROR(SEARCH("WRITE-OFF",R1)))</formula>
    </cfRule>
    <cfRule type="containsText" dxfId="6" priority="5" operator="containsText" text="FLASH SALE">
      <formula>NOT(ISERROR(SEARCH("FLASH SALE",R1)))</formula>
    </cfRule>
    <cfRule type="containsText" dxfId="5" priority="6" operator="containsText" text="REGULAR SALES">
      <formula>NOT(ISERROR(SEARCH("REGULAR SALES",R1)))</formula>
    </cfRule>
    <cfRule type="containsText" dxfId="4" priority="7" operator="containsText" text="SAFE">
      <formula>NOT(ISERROR(SEARCH("SAFE",R1)))</formula>
    </cfRule>
  </conditionalFormatting>
  <conditionalFormatting sqref="R5">
    <cfRule type="containsText" dxfId="3" priority="12" operator="containsText" text="EXPIRED">
      <formula>NOT(ISERROR(SEARCH("EXPIRED",R5)))</formula>
    </cfRule>
    <cfRule type="containsText" dxfId="2" priority="13" operator="containsText" text="WARNING">
      <formula>NOT(ISERROR(SEARCH("WARNING",R5)))</formula>
    </cfRule>
    <cfRule type="containsText" dxfId="1" priority="14" operator="containsText" text="CRITICAL">
      <formula>NOT(ISERROR(SEARCH("CRITICAL",R5)))</formula>
    </cfRule>
    <cfRule type="containsText" dxfId="0" priority="15" operator="containsText" text="SAFE">
      <formula>NOT(ISERROR(SEARCH("SAFE",R5)))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9158F-3C93-41DA-AF4C-9CC35048F758}">
  <dimension ref="A1:K326"/>
  <sheetViews>
    <sheetView topLeftCell="B303" zoomScale="96" zoomScaleNormal="174" workbookViewId="0">
      <selection activeCell="F5" sqref="F5:F324"/>
    </sheetView>
  </sheetViews>
  <sheetFormatPr defaultRowHeight="15" x14ac:dyDescent="0.25"/>
  <cols>
    <col min="1" max="1" width="67" customWidth="1"/>
    <col min="2" max="2" width="12" customWidth="1"/>
    <col min="3" max="3" width="37" customWidth="1"/>
    <col min="4" max="4" width="14" customWidth="1"/>
    <col min="5" max="5" width="14" style="16" customWidth="1"/>
    <col min="6" max="6" width="16" style="16" customWidth="1"/>
    <col min="7" max="7" width="16" customWidth="1"/>
    <col min="8" max="8" width="18" customWidth="1"/>
    <col min="9" max="9" width="16" customWidth="1"/>
    <col min="10" max="10" width="14.140625" customWidth="1"/>
    <col min="11" max="11" width="31.140625" customWidth="1"/>
  </cols>
  <sheetData>
    <row r="1" spans="1:11" ht="21" x14ac:dyDescent="0.35">
      <c r="A1" s="1" t="s">
        <v>0</v>
      </c>
    </row>
    <row r="2" spans="1:11" x14ac:dyDescent="0.25">
      <c r="A2" s="2" t="s">
        <v>1</v>
      </c>
    </row>
    <row r="4" spans="1:11" x14ac:dyDescent="0.25">
      <c r="A4" s="3" t="s">
        <v>2</v>
      </c>
      <c r="B4" s="25" t="s">
        <v>437</v>
      </c>
      <c r="C4" s="25" t="s">
        <v>434</v>
      </c>
      <c r="D4" s="25" t="s">
        <v>435</v>
      </c>
      <c r="E4" s="26" t="s">
        <v>438</v>
      </c>
      <c r="F4" s="26" t="s">
        <v>439</v>
      </c>
      <c r="G4" s="25" t="s">
        <v>442</v>
      </c>
      <c r="H4" s="25" t="s">
        <v>443</v>
      </c>
      <c r="I4" s="25" t="s">
        <v>436</v>
      </c>
      <c r="J4" s="25" t="s">
        <v>441</v>
      </c>
      <c r="K4" s="25" t="s">
        <v>440</v>
      </c>
    </row>
    <row r="5" spans="1:11" x14ac:dyDescent="0.25">
      <c r="A5" s="4" t="s">
        <v>3</v>
      </c>
      <c r="B5" s="4" t="s">
        <v>4</v>
      </c>
      <c r="C5" s="5" t="s">
        <v>5</v>
      </c>
      <c r="D5" s="4" t="s">
        <v>6</v>
      </c>
      <c r="E5" s="18">
        <v>46079</v>
      </c>
      <c r="F5" s="18">
        <v>46452</v>
      </c>
      <c r="G5" s="6">
        <v>300</v>
      </c>
      <c r="H5" s="7">
        <v>84000</v>
      </c>
      <c r="I5" s="7">
        <f t="shared" ref="I5:I68" si="0">G5*H5</f>
        <v>25200000</v>
      </c>
      <c r="J5" s="6">
        <f ca="1">F5-TODAY()</f>
        <v>130</v>
      </c>
      <c r="K5" s="4" t="str">
        <f t="shared" ref="K5:K68" ca="1" si="1">IF(J5&lt;0, "EXPIRED", IF(J5&lt;=60, "CRITICAL", IF(J5&lt;=180, "WARNING", "SAFE")))</f>
        <v>WARNING</v>
      </c>
    </row>
    <row r="6" spans="1:11" x14ac:dyDescent="0.25">
      <c r="A6" s="8" t="s">
        <v>7</v>
      </c>
      <c r="B6" s="8" t="s">
        <v>8</v>
      </c>
      <c r="C6" s="9" t="s">
        <v>9</v>
      </c>
      <c r="D6" s="8" t="s">
        <v>10</v>
      </c>
      <c r="E6" s="19">
        <v>46023</v>
      </c>
      <c r="F6" s="19">
        <v>46546</v>
      </c>
      <c r="G6" s="10">
        <v>250</v>
      </c>
      <c r="H6" s="11">
        <v>34000</v>
      </c>
      <c r="I6" s="11">
        <f t="shared" si="0"/>
        <v>8500000</v>
      </c>
      <c r="J6" s="6">
        <f t="shared" ref="J6:J69" ca="1" si="2">F6-TODAY()</f>
        <v>224</v>
      </c>
      <c r="K6" s="8" t="str">
        <f t="shared" ca="1" si="1"/>
        <v>SAFE</v>
      </c>
    </row>
    <row r="7" spans="1:11" x14ac:dyDescent="0.25">
      <c r="A7" s="4" t="s">
        <v>11</v>
      </c>
      <c r="B7" s="4" t="s">
        <v>12</v>
      </c>
      <c r="C7" s="5" t="s">
        <v>13</v>
      </c>
      <c r="D7" s="4" t="s">
        <v>14</v>
      </c>
      <c r="E7" s="18">
        <v>46066</v>
      </c>
      <c r="F7" s="18">
        <v>46440</v>
      </c>
      <c r="G7" s="6">
        <v>200</v>
      </c>
      <c r="H7" s="7">
        <v>35000</v>
      </c>
      <c r="I7" s="7">
        <f t="shared" si="0"/>
        <v>7000000</v>
      </c>
      <c r="J7" s="6">
        <f t="shared" ca="1" si="2"/>
        <v>118</v>
      </c>
      <c r="K7" s="4" t="str">
        <f t="shared" ca="1" si="1"/>
        <v>WARNING</v>
      </c>
    </row>
    <row r="8" spans="1:11" x14ac:dyDescent="0.25">
      <c r="A8" s="8" t="s">
        <v>15</v>
      </c>
      <c r="B8" s="8" t="s">
        <v>16</v>
      </c>
      <c r="C8" s="9" t="s">
        <v>17</v>
      </c>
      <c r="D8" s="8" t="s">
        <v>6</v>
      </c>
      <c r="E8" s="19">
        <v>45969</v>
      </c>
      <c r="F8" s="19">
        <v>46245</v>
      </c>
      <c r="G8" s="10">
        <v>100</v>
      </c>
      <c r="H8" s="11">
        <v>68000</v>
      </c>
      <c r="I8" s="11">
        <f t="shared" si="0"/>
        <v>6800000</v>
      </c>
      <c r="J8" s="6">
        <f t="shared" ca="1" si="2"/>
        <v>-77</v>
      </c>
      <c r="K8" s="8" t="str">
        <f t="shared" ca="1" si="1"/>
        <v>EXPIRED</v>
      </c>
    </row>
    <row r="9" spans="1:11" x14ac:dyDescent="0.25">
      <c r="A9" s="4" t="s">
        <v>18</v>
      </c>
      <c r="B9" s="4" t="s">
        <v>19</v>
      </c>
      <c r="C9" s="5" t="s">
        <v>20</v>
      </c>
      <c r="D9" s="4" t="s">
        <v>21</v>
      </c>
      <c r="E9" s="18">
        <v>45867</v>
      </c>
      <c r="F9" s="18">
        <v>46514</v>
      </c>
      <c r="G9" s="6">
        <v>1000</v>
      </c>
      <c r="H9" s="7">
        <v>51000</v>
      </c>
      <c r="I9" s="7">
        <f t="shared" si="0"/>
        <v>51000000</v>
      </c>
      <c r="J9" s="6">
        <f t="shared" ca="1" si="2"/>
        <v>192</v>
      </c>
      <c r="K9" s="4" t="str">
        <f t="shared" ca="1" si="1"/>
        <v>SAFE</v>
      </c>
    </row>
    <row r="10" spans="1:11" x14ac:dyDescent="0.25">
      <c r="A10" s="8" t="s">
        <v>22</v>
      </c>
      <c r="B10" s="8" t="s">
        <v>8</v>
      </c>
      <c r="C10" s="9" t="s">
        <v>9</v>
      </c>
      <c r="D10" s="8" t="s">
        <v>10</v>
      </c>
      <c r="E10" s="19">
        <v>45863</v>
      </c>
      <c r="F10" s="19">
        <v>46592</v>
      </c>
      <c r="G10" s="10">
        <v>100</v>
      </c>
      <c r="H10" s="11">
        <v>34000</v>
      </c>
      <c r="I10" s="11">
        <f t="shared" si="0"/>
        <v>3400000</v>
      </c>
      <c r="J10" s="6">
        <f t="shared" ca="1" si="2"/>
        <v>270</v>
      </c>
      <c r="K10" s="8" t="str">
        <f t="shared" ca="1" si="1"/>
        <v>SAFE</v>
      </c>
    </row>
    <row r="11" spans="1:11" x14ac:dyDescent="0.25">
      <c r="A11" s="4" t="s">
        <v>23</v>
      </c>
      <c r="B11" s="4" t="s">
        <v>4</v>
      </c>
      <c r="C11" s="5" t="s">
        <v>5</v>
      </c>
      <c r="D11" s="4" t="s">
        <v>6</v>
      </c>
      <c r="E11" s="18">
        <v>45829</v>
      </c>
      <c r="F11" s="18">
        <v>46466</v>
      </c>
      <c r="G11" s="6">
        <v>750</v>
      </c>
      <c r="H11" s="7">
        <v>86000</v>
      </c>
      <c r="I11" s="7">
        <f t="shared" si="0"/>
        <v>64500000</v>
      </c>
      <c r="J11" s="6">
        <f t="shared" ca="1" si="2"/>
        <v>144</v>
      </c>
      <c r="K11" s="4" t="str">
        <f t="shared" ca="1" si="1"/>
        <v>WARNING</v>
      </c>
    </row>
    <row r="12" spans="1:11" x14ac:dyDescent="0.25">
      <c r="A12" s="8" t="s">
        <v>24</v>
      </c>
      <c r="B12" s="8" t="s">
        <v>25</v>
      </c>
      <c r="C12" s="9" t="s">
        <v>26</v>
      </c>
      <c r="D12" s="8" t="s">
        <v>27</v>
      </c>
      <c r="E12" s="19">
        <v>46073</v>
      </c>
      <c r="F12" s="19">
        <v>46514</v>
      </c>
      <c r="G12" s="10">
        <v>300</v>
      </c>
      <c r="H12" s="11">
        <v>61000</v>
      </c>
      <c r="I12" s="11">
        <f t="shared" si="0"/>
        <v>18300000</v>
      </c>
      <c r="J12" s="6">
        <f t="shared" ca="1" si="2"/>
        <v>192</v>
      </c>
      <c r="K12" s="8" t="str">
        <f t="shared" ca="1" si="1"/>
        <v>SAFE</v>
      </c>
    </row>
    <row r="13" spans="1:11" x14ac:dyDescent="0.25">
      <c r="A13" s="4" t="s">
        <v>28</v>
      </c>
      <c r="B13" s="4" t="s">
        <v>29</v>
      </c>
      <c r="C13" s="5" t="s">
        <v>30</v>
      </c>
      <c r="D13" s="4" t="s">
        <v>10</v>
      </c>
      <c r="E13" s="18">
        <v>45843</v>
      </c>
      <c r="F13" s="18">
        <v>46551</v>
      </c>
      <c r="G13" s="6">
        <v>200</v>
      </c>
      <c r="H13" s="7">
        <v>28000</v>
      </c>
      <c r="I13" s="7">
        <f t="shared" si="0"/>
        <v>5600000</v>
      </c>
      <c r="J13" s="6">
        <f t="shared" ca="1" si="2"/>
        <v>229</v>
      </c>
      <c r="K13" s="4" t="str">
        <f t="shared" ca="1" si="1"/>
        <v>SAFE</v>
      </c>
    </row>
    <row r="14" spans="1:11" x14ac:dyDescent="0.25">
      <c r="A14" s="8" t="s">
        <v>31</v>
      </c>
      <c r="B14" s="8" t="s">
        <v>25</v>
      </c>
      <c r="C14" s="9" t="s">
        <v>26</v>
      </c>
      <c r="D14" s="8" t="s">
        <v>27</v>
      </c>
      <c r="E14" s="19">
        <v>45862</v>
      </c>
      <c r="F14" s="19">
        <v>46593</v>
      </c>
      <c r="G14" s="10">
        <v>100</v>
      </c>
      <c r="H14" s="11">
        <v>56000</v>
      </c>
      <c r="I14" s="11">
        <f t="shared" si="0"/>
        <v>5600000</v>
      </c>
      <c r="J14" s="6">
        <f t="shared" ca="1" si="2"/>
        <v>271</v>
      </c>
      <c r="K14" s="8" t="str">
        <f t="shared" ca="1" si="1"/>
        <v>SAFE</v>
      </c>
    </row>
    <row r="15" spans="1:11" x14ac:dyDescent="0.25">
      <c r="A15" s="4" t="s">
        <v>32</v>
      </c>
      <c r="B15" s="4" t="s">
        <v>33</v>
      </c>
      <c r="C15" s="5" t="s">
        <v>34</v>
      </c>
      <c r="D15" s="4" t="s">
        <v>35</v>
      </c>
      <c r="E15" s="18">
        <v>45852</v>
      </c>
      <c r="F15" s="18">
        <v>46586</v>
      </c>
      <c r="G15" s="6">
        <v>750</v>
      </c>
      <c r="H15" s="7">
        <v>59000</v>
      </c>
      <c r="I15" s="7">
        <f t="shared" si="0"/>
        <v>44250000</v>
      </c>
      <c r="J15" s="6">
        <f t="shared" ca="1" si="2"/>
        <v>264</v>
      </c>
      <c r="K15" s="4" t="str">
        <f t="shared" ca="1" si="1"/>
        <v>SAFE</v>
      </c>
    </row>
    <row r="16" spans="1:11" x14ac:dyDescent="0.25">
      <c r="A16" s="8" t="s">
        <v>36</v>
      </c>
      <c r="B16" s="8" t="s">
        <v>4</v>
      </c>
      <c r="C16" s="9" t="s">
        <v>5</v>
      </c>
      <c r="D16" s="8" t="s">
        <v>6</v>
      </c>
      <c r="E16" s="19">
        <v>46060</v>
      </c>
      <c r="F16" s="19">
        <v>46507</v>
      </c>
      <c r="G16" s="10">
        <v>500</v>
      </c>
      <c r="H16" s="11">
        <v>87000</v>
      </c>
      <c r="I16" s="11">
        <f t="shared" si="0"/>
        <v>43500000</v>
      </c>
      <c r="J16" s="6">
        <f t="shared" ca="1" si="2"/>
        <v>185</v>
      </c>
      <c r="K16" s="8" t="str">
        <f t="shared" ca="1" si="1"/>
        <v>SAFE</v>
      </c>
    </row>
    <row r="17" spans="1:11" x14ac:dyDescent="0.25">
      <c r="A17" s="4" t="s">
        <v>37</v>
      </c>
      <c r="B17" s="4" t="s">
        <v>25</v>
      </c>
      <c r="C17" s="5" t="s">
        <v>26</v>
      </c>
      <c r="D17" s="4" t="s">
        <v>27</v>
      </c>
      <c r="E17" s="18">
        <v>45861</v>
      </c>
      <c r="F17" s="18">
        <v>46595</v>
      </c>
      <c r="G17" s="6">
        <v>200</v>
      </c>
      <c r="H17" s="7">
        <v>63000</v>
      </c>
      <c r="I17" s="7">
        <f t="shared" si="0"/>
        <v>12600000</v>
      </c>
      <c r="J17" s="6">
        <f t="shared" ca="1" si="2"/>
        <v>273</v>
      </c>
      <c r="K17" s="4" t="str">
        <f t="shared" ca="1" si="1"/>
        <v>SAFE</v>
      </c>
    </row>
    <row r="18" spans="1:11" x14ac:dyDescent="0.25">
      <c r="A18" s="8" t="s">
        <v>38</v>
      </c>
      <c r="B18" s="8" t="s">
        <v>19</v>
      </c>
      <c r="C18" s="9" t="s">
        <v>20</v>
      </c>
      <c r="D18" s="8" t="s">
        <v>21</v>
      </c>
      <c r="E18" s="19">
        <v>45817</v>
      </c>
      <c r="F18" s="19">
        <v>46353</v>
      </c>
      <c r="G18" s="10">
        <v>200</v>
      </c>
      <c r="H18" s="11">
        <v>51000</v>
      </c>
      <c r="I18" s="11">
        <f t="shared" si="0"/>
        <v>10200000</v>
      </c>
      <c r="J18" s="6">
        <f t="shared" ca="1" si="2"/>
        <v>31</v>
      </c>
      <c r="K18" s="8" t="str">
        <f t="shared" ca="1" si="1"/>
        <v>CRITICAL</v>
      </c>
    </row>
    <row r="19" spans="1:11" x14ac:dyDescent="0.25">
      <c r="A19" s="4" t="s">
        <v>39</v>
      </c>
      <c r="B19" s="4" t="s">
        <v>8</v>
      </c>
      <c r="C19" s="5" t="s">
        <v>9</v>
      </c>
      <c r="D19" s="4" t="s">
        <v>10</v>
      </c>
      <c r="E19" s="18">
        <v>45889</v>
      </c>
      <c r="F19" s="18">
        <v>46601</v>
      </c>
      <c r="G19" s="6">
        <v>500</v>
      </c>
      <c r="H19" s="7">
        <v>36000</v>
      </c>
      <c r="I19" s="7">
        <f t="shared" si="0"/>
        <v>18000000</v>
      </c>
      <c r="J19" s="6">
        <f t="shared" ca="1" si="2"/>
        <v>279</v>
      </c>
      <c r="K19" s="4" t="str">
        <f t="shared" ca="1" si="1"/>
        <v>SAFE</v>
      </c>
    </row>
    <row r="20" spans="1:11" x14ac:dyDescent="0.25">
      <c r="A20" s="8" t="s">
        <v>40</v>
      </c>
      <c r="B20" s="8" t="s">
        <v>33</v>
      </c>
      <c r="C20" s="9" t="s">
        <v>34</v>
      </c>
      <c r="D20" s="8" t="s">
        <v>35</v>
      </c>
      <c r="E20" s="19">
        <v>46039</v>
      </c>
      <c r="F20" s="19">
        <v>46411</v>
      </c>
      <c r="G20" s="10">
        <v>750</v>
      </c>
      <c r="H20" s="11">
        <v>59000</v>
      </c>
      <c r="I20" s="11">
        <f t="shared" si="0"/>
        <v>44250000</v>
      </c>
      <c r="J20" s="6">
        <f t="shared" ca="1" si="2"/>
        <v>89</v>
      </c>
      <c r="K20" s="8" t="str">
        <f t="shared" ca="1" si="1"/>
        <v>WARNING</v>
      </c>
    </row>
    <row r="21" spans="1:11" x14ac:dyDescent="0.25">
      <c r="A21" s="4" t="s">
        <v>41</v>
      </c>
      <c r="B21" s="4" t="s">
        <v>25</v>
      </c>
      <c r="C21" s="5" t="s">
        <v>26</v>
      </c>
      <c r="D21" s="4" t="s">
        <v>27</v>
      </c>
      <c r="E21" s="18">
        <v>45841</v>
      </c>
      <c r="F21" s="18">
        <v>46363</v>
      </c>
      <c r="G21" s="6">
        <v>300</v>
      </c>
      <c r="H21" s="7">
        <v>59000</v>
      </c>
      <c r="I21" s="7">
        <f t="shared" si="0"/>
        <v>17700000</v>
      </c>
      <c r="J21" s="6">
        <f t="shared" ca="1" si="2"/>
        <v>41</v>
      </c>
      <c r="K21" s="4" t="str">
        <f t="shared" ca="1" si="1"/>
        <v>CRITICAL</v>
      </c>
    </row>
    <row r="22" spans="1:11" x14ac:dyDescent="0.25">
      <c r="A22" s="8" t="s">
        <v>42</v>
      </c>
      <c r="B22" s="8" t="s">
        <v>8</v>
      </c>
      <c r="C22" s="9" t="s">
        <v>9</v>
      </c>
      <c r="D22" s="8" t="s">
        <v>10</v>
      </c>
      <c r="E22" s="19">
        <v>45980</v>
      </c>
      <c r="F22" s="19">
        <v>46351</v>
      </c>
      <c r="G22" s="10">
        <v>300</v>
      </c>
      <c r="H22" s="11">
        <v>34000</v>
      </c>
      <c r="I22" s="11">
        <f t="shared" si="0"/>
        <v>10200000</v>
      </c>
      <c r="J22" s="6">
        <f t="shared" ca="1" si="2"/>
        <v>29</v>
      </c>
      <c r="K22" s="8" t="str">
        <f t="shared" ca="1" si="1"/>
        <v>CRITICAL</v>
      </c>
    </row>
    <row r="23" spans="1:11" x14ac:dyDescent="0.25">
      <c r="A23" s="4" t="s">
        <v>43</v>
      </c>
      <c r="B23" s="4" t="s">
        <v>16</v>
      </c>
      <c r="C23" s="5" t="s">
        <v>17</v>
      </c>
      <c r="D23" s="4" t="s">
        <v>6</v>
      </c>
      <c r="E23" s="18">
        <v>45939</v>
      </c>
      <c r="F23" s="18">
        <v>46489</v>
      </c>
      <c r="G23" s="6">
        <v>200</v>
      </c>
      <c r="H23" s="7">
        <v>66000</v>
      </c>
      <c r="I23" s="7">
        <f t="shared" si="0"/>
        <v>13200000</v>
      </c>
      <c r="J23" s="6">
        <f t="shared" ca="1" si="2"/>
        <v>167</v>
      </c>
      <c r="K23" s="4" t="str">
        <f t="shared" ca="1" si="1"/>
        <v>WARNING</v>
      </c>
    </row>
    <row r="24" spans="1:11" x14ac:dyDescent="0.25">
      <c r="A24" s="8" t="s">
        <v>44</v>
      </c>
      <c r="B24" s="8" t="s">
        <v>45</v>
      </c>
      <c r="C24" s="9" t="s">
        <v>46</v>
      </c>
      <c r="D24" s="8" t="s">
        <v>14</v>
      </c>
      <c r="E24" s="19">
        <v>46015</v>
      </c>
      <c r="F24" s="19">
        <v>46644</v>
      </c>
      <c r="G24" s="10">
        <v>250</v>
      </c>
      <c r="H24" s="11">
        <v>87000</v>
      </c>
      <c r="I24" s="11">
        <f t="shared" si="0"/>
        <v>21750000</v>
      </c>
      <c r="J24" s="6">
        <f t="shared" ca="1" si="2"/>
        <v>322</v>
      </c>
      <c r="K24" s="8" t="str">
        <f t="shared" ca="1" si="1"/>
        <v>SAFE</v>
      </c>
    </row>
    <row r="25" spans="1:11" x14ac:dyDescent="0.25">
      <c r="A25" s="4" t="s">
        <v>47</v>
      </c>
      <c r="B25" s="4" t="s">
        <v>4</v>
      </c>
      <c r="C25" s="5" t="s">
        <v>5</v>
      </c>
      <c r="D25" s="4" t="s">
        <v>6</v>
      </c>
      <c r="E25" s="18">
        <v>46049</v>
      </c>
      <c r="F25" s="18">
        <v>46672</v>
      </c>
      <c r="G25" s="6">
        <v>750</v>
      </c>
      <c r="H25" s="7">
        <v>81000</v>
      </c>
      <c r="I25" s="7">
        <f t="shared" si="0"/>
        <v>60750000</v>
      </c>
      <c r="J25" s="6">
        <f t="shared" ca="1" si="2"/>
        <v>350</v>
      </c>
      <c r="K25" s="4" t="str">
        <f t="shared" ca="1" si="1"/>
        <v>SAFE</v>
      </c>
    </row>
    <row r="26" spans="1:11" x14ac:dyDescent="0.25">
      <c r="A26" s="8" t="s">
        <v>48</v>
      </c>
      <c r="B26" s="8" t="s">
        <v>4</v>
      </c>
      <c r="C26" s="9" t="s">
        <v>5</v>
      </c>
      <c r="D26" s="8" t="s">
        <v>6</v>
      </c>
      <c r="E26" s="19">
        <v>46045</v>
      </c>
      <c r="F26" s="19">
        <v>46418</v>
      </c>
      <c r="G26" s="10">
        <v>200</v>
      </c>
      <c r="H26" s="11">
        <v>81000</v>
      </c>
      <c r="I26" s="11">
        <f t="shared" si="0"/>
        <v>16200000</v>
      </c>
      <c r="J26" s="6">
        <f t="shared" ca="1" si="2"/>
        <v>96</v>
      </c>
      <c r="K26" s="8" t="str">
        <f t="shared" ca="1" si="1"/>
        <v>WARNING</v>
      </c>
    </row>
    <row r="27" spans="1:11" x14ac:dyDescent="0.25">
      <c r="A27" s="4" t="s">
        <v>49</v>
      </c>
      <c r="B27" s="4" t="s">
        <v>8</v>
      </c>
      <c r="C27" s="5" t="s">
        <v>9</v>
      </c>
      <c r="D27" s="4" t="s">
        <v>10</v>
      </c>
      <c r="E27" s="18">
        <v>45894</v>
      </c>
      <c r="F27" s="18">
        <v>46428</v>
      </c>
      <c r="G27" s="6">
        <v>500</v>
      </c>
      <c r="H27" s="7">
        <v>32000</v>
      </c>
      <c r="I27" s="7">
        <f t="shared" si="0"/>
        <v>16000000</v>
      </c>
      <c r="J27" s="6">
        <f t="shared" ca="1" si="2"/>
        <v>106</v>
      </c>
      <c r="K27" s="4" t="str">
        <f t="shared" ca="1" si="1"/>
        <v>WARNING</v>
      </c>
    </row>
    <row r="28" spans="1:11" x14ac:dyDescent="0.25">
      <c r="A28" s="8" t="s">
        <v>50</v>
      </c>
      <c r="B28" s="8" t="s">
        <v>16</v>
      </c>
      <c r="C28" s="9" t="s">
        <v>17</v>
      </c>
      <c r="D28" s="8" t="s">
        <v>6</v>
      </c>
      <c r="E28" s="19">
        <v>45942</v>
      </c>
      <c r="F28" s="19">
        <v>46573</v>
      </c>
      <c r="G28" s="10">
        <v>200</v>
      </c>
      <c r="H28" s="11">
        <v>70000</v>
      </c>
      <c r="I28" s="11">
        <f t="shared" si="0"/>
        <v>14000000</v>
      </c>
      <c r="J28" s="6">
        <f t="shared" ca="1" si="2"/>
        <v>251</v>
      </c>
      <c r="K28" s="8" t="str">
        <f t="shared" ca="1" si="1"/>
        <v>SAFE</v>
      </c>
    </row>
    <row r="29" spans="1:11" x14ac:dyDescent="0.25">
      <c r="A29" s="4" t="s">
        <v>51</v>
      </c>
      <c r="B29" s="4" t="s">
        <v>33</v>
      </c>
      <c r="C29" s="5" t="s">
        <v>34</v>
      </c>
      <c r="D29" s="4" t="s">
        <v>35</v>
      </c>
      <c r="E29" s="18">
        <v>46039</v>
      </c>
      <c r="F29" s="18">
        <v>46744</v>
      </c>
      <c r="G29" s="6">
        <v>200</v>
      </c>
      <c r="H29" s="7">
        <v>60000</v>
      </c>
      <c r="I29" s="7">
        <f t="shared" si="0"/>
        <v>12000000</v>
      </c>
      <c r="J29" s="6">
        <f t="shared" ca="1" si="2"/>
        <v>422</v>
      </c>
      <c r="K29" s="4" t="str">
        <f t="shared" ca="1" si="1"/>
        <v>SAFE</v>
      </c>
    </row>
    <row r="30" spans="1:11" x14ac:dyDescent="0.25">
      <c r="A30" s="8" t="s">
        <v>52</v>
      </c>
      <c r="B30" s="8" t="s">
        <v>53</v>
      </c>
      <c r="C30" s="9" t="s">
        <v>54</v>
      </c>
      <c r="D30" s="8" t="s">
        <v>35</v>
      </c>
      <c r="E30" s="19">
        <v>46041</v>
      </c>
      <c r="F30" s="19">
        <v>46666</v>
      </c>
      <c r="G30" s="10">
        <v>300</v>
      </c>
      <c r="H30" s="11">
        <v>56000</v>
      </c>
      <c r="I30" s="11">
        <f t="shared" si="0"/>
        <v>16800000</v>
      </c>
      <c r="J30" s="6">
        <f t="shared" ca="1" si="2"/>
        <v>344</v>
      </c>
      <c r="K30" s="8" t="str">
        <f t="shared" ca="1" si="1"/>
        <v>SAFE</v>
      </c>
    </row>
    <row r="31" spans="1:11" x14ac:dyDescent="0.25">
      <c r="A31" s="4" t="s">
        <v>55</v>
      </c>
      <c r="B31" s="4" t="s">
        <v>16</v>
      </c>
      <c r="C31" s="5" t="s">
        <v>17</v>
      </c>
      <c r="D31" s="4" t="s">
        <v>6</v>
      </c>
      <c r="E31" s="18">
        <v>46033</v>
      </c>
      <c r="F31" s="18">
        <v>46544</v>
      </c>
      <c r="G31" s="6">
        <v>200</v>
      </c>
      <c r="H31" s="7">
        <v>70000</v>
      </c>
      <c r="I31" s="7">
        <f t="shared" si="0"/>
        <v>14000000</v>
      </c>
      <c r="J31" s="6">
        <f t="shared" ca="1" si="2"/>
        <v>222</v>
      </c>
      <c r="K31" s="4" t="str">
        <f t="shared" ca="1" si="1"/>
        <v>SAFE</v>
      </c>
    </row>
    <row r="32" spans="1:11" x14ac:dyDescent="0.25">
      <c r="A32" s="8" t="s">
        <v>56</v>
      </c>
      <c r="B32" s="8" t="s">
        <v>12</v>
      </c>
      <c r="C32" s="9" t="s">
        <v>13</v>
      </c>
      <c r="D32" s="8" t="s">
        <v>14</v>
      </c>
      <c r="E32" s="19">
        <v>45968</v>
      </c>
      <c r="F32" s="19">
        <v>46321</v>
      </c>
      <c r="G32" s="10">
        <v>250</v>
      </c>
      <c r="H32" s="11">
        <v>33000</v>
      </c>
      <c r="I32" s="11">
        <f t="shared" si="0"/>
        <v>8250000</v>
      </c>
      <c r="J32" s="6">
        <f t="shared" ca="1" si="2"/>
        <v>-1</v>
      </c>
      <c r="K32" s="8" t="str">
        <f t="shared" ca="1" si="1"/>
        <v>EXPIRED</v>
      </c>
    </row>
    <row r="33" spans="1:11" x14ac:dyDescent="0.25">
      <c r="A33" s="4" t="s">
        <v>57</v>
      </c>
      <c r="B33" s="4" t="s">
        <v>19</v>
      </c>
      <c r="C33" s="5" t="s">
        <v>20</v>
      </c>
      <c r="D33" s="4" t="s">
        <v>21</v>
      </c>
      <c r="E33" s="18">
        <v>45860</v>
      </c>
      <c r="F33" s="18">
        <v>46396</v>
      </c>
      <c r="G33" s="6">
        <v>250</v>
      </c>
      <c r="H33" s="7">
        <v>45000</v>
      </c>
      <c r="I33" s="7">
        <f t="shared" si="0"/>
        <v>11250000</v>
      </c>
      <c r="J33" s="6">
        <f t="shared" ca="1" si="2"/>
        <v>74</v>
      </c>
      <c r="K33" s="4" t="str">
        <f t="shared" ca="1" si="1"/>
        <v>WARNING</v>
      </c>
    </row>
    <row r="34" spans="1:11" x14ac:dyDescent="0.25">
      <c r="A34" s="8" t="s">
        <v>58</v>
      </c>
      <c r="B34" s="8" t="s">
        <v>16</v>
      </c>
      <c r="C34" s="9" t="s">
        <v>17</v>
      </c>
      <c r="D34" s="8" t="s">
        <v>6</v>
      </c>
      <c r="E34" s="19">
        <v>45921</v>
      </c>
      <c r="F34" s="19">
        <v>46652</v>
      </c>
      <c r="G34" s="10">
        <v>300</v>
      </c>
      <c r="H34" s="11">
        <v>61000</v>
      </c>
      <c r="I34" s="11">
        <f t="shared" si="0"/>
        <v>18300000</v>
      </c>
      <c r="J34" s="6">
        <f t="shared" ca="1" si="2"/>
        <v>330</v>
      </c>
      <c r="K34" s="8" t="str">
        <f t="shared" ca="1" si="1"/>
        <v>SAFE</v>
      </c>
    </row>
    <row r="35" spans="1:11" x14ac:dyDescent="0.25">
      <c r="A35" s="4" t="s">
        <v>59</v>
      </c>
      <c r="B35" s="4" t="s">
        <v>12</v>
      </c>
      <c r="C35" s="5" t="s">
        <v>13</v>
      </c>
      <c r="D35" s="4" t="s">
        <v>14</v>
      </c>
      <c r="E35" s="18">
        <v>46032</v>
      </c>
      <c r="F35" s="18">
        <v>46755</v>
      </c>
      <c r="G35" s="6">
        <v>300</v>
      </c>
      <c r="H35" s="7">
        <v>32000</v>
      </c>
      <c r="I35" s="7">
        <f t="shared" si="0"/>
        <v>9600000</v>
      </c>
      <c r="J35" s="6">
        <f t="shared" ca="1" si="2"/>
        <v>433</v>
      </c>
      <c r="K35" s="4" t="str">
        <f t="shared" ca="1" si="1"/>
        <v>SAFE</v>
      </c>
    </row>
    <row r="36" spans="1:11" x14ac:dyDescent="0.25">
      <c r="A36" s="8" t="s">
        <v>60</v>
      </c>
      <c r="B36" s="8" t="s">
        <v>33</v>
      </c>
      <c r="C36" s="9" t="s">
        <v>34</v>
      </c>
      <c r="D36" s="8" t="s">
        <v>35</v>
      </c>
      <c r="E36" s="19">
        <v>45968</v>
      </c>
      <c r="F36" s="19">
        <v>46335</v>
      </c>
      <c r="G36" s="10">
        <v>300</v>
      </c>
      <c r="H36" s="11">
        <v>62000</v>
      </c>
      <c r="I36" s="11">
        <f t="shared" si="0"/>
        <v>18600000</v>
      </c>
      <c r="J36" s="6">
        <f t="shared" ca="1" si="2"/>
        <v>13</v>
      </c>
      <c r="K36" s="8" t="str">
        <f t="shared" ca="1" si="1"/>
        <v>CRITICAL</v>
      </c>
    </row>
    <row r="37" spans="1:11" x14ac:dyDescent="0.25">
      <c r="A37" s="4" t="s">
        <v>61</v>
      </c>
      <c r="B37" s="4" t="s">
        <v>29</v>
      </c>
      <c r="C37" s="5" t="s">
        <v>30</v>
      </c>
      <c r="D37" s="4" t="s">
        <v>10</v>
      </c>
      <c r="E37" s="18">
        <v>45931</v>
      </c>
      <c r="F37" s="18">
        <v>46466</v>
      </c>
      <c r="G37" s="6">
        <v>250</v>
      </c>
      <c r="H37" s="7">
        <v>28000</v>
      </c>
      <c r="I37" s="7">
        <f t="shared" si="0"/>
        <v>7000000</v>
      </c>
      <c r="J37" s="6">
        <f t="shared" ca="1" si="2"/>
        <v>144</v>
      </c>
      <c r="K37" s="4" t="str">
        <f t="shared" ca="1" si="1"/>
        <v>WARNING</v>
      </c>
    </row>
    <row r="38" spans="1:11" x14ac:dyDescent="0.25">
      <c r="A38" s="8" t="s">
        <v>62</v>
      </c>
      <c r="B38" s="8" t="s">
        <v>25</v>
      </c>
      <c r="C38" s="9" t="s">
        <v>26</v>
      </c>
      <c r="D38" s="8" t="s">
        <v>27</v>
      </c>
      <c r="E38" s="19">
        <v>46006</v>
      </c>
      <c r="F38" s="19">
        <v>46641</v>
      </c>
      <c r="G38" s="10">
        <v>500</v>
      </c>
      <c r="H38" s="11">
        <v>63000</v>
      </c>
      <c r="I38" s="11">
        <f t="shared" si="0"/>
        <v>31500000</v>
      </c>
      <c r="J38" s="6">
        <f t="shared" ca="1" si="2"/>
        <v>319</v>
      </c>
      <c r="K38" s="8" t="str">
        <f t="shared" ca="1" si="1"/>
        <v>SAFE</v>
      </c>
    </row>
    <row r="39" spans="1:11" x14ac:dyDescent="0.25">
      <c r="A39" s="4" t="s">
        <v>63</v>
      </c>
      <c r="B39" s="4" t="s">
        <v>12</v>
      </c>
      <c r="C39" s="5" t="s">
        <v>13</v>
      </c>
      <c r="D39" s="4" t="s">
        <v>14</v>
      </c>
      <c r="E39" s="18">
        <v>46067</v>
      </c>
      <c r="F39" s="18">
        <v>46438</v>
      </c>
      <c r="G39" s="6">
        <v>200</v>
      </c>
      <c r="H39" s="7">
        <v>29000</v>
      </c>
      <c r="I39" s="7">
        <f t="shared" si="0"/>
        <v>5800000</v>
      </c>
      <c r="J39" s="6">
        <f t="shared" ca="1" si="2"/>
        <v>116</v>
      </c>
      <c r="K39" s="4" t="str">
        <f t="shared" ca="1" si="1"/>
        <v>WARNING</v>
      </c>
    </row>
    <row r="40" spans="1:11" x14ac:dyDescent="0.25">
      <c r="A40" s="8" t="s">
        <v>64</v>
      </c>
      <c r="B40" s="8" t="s">
        <v>8</v>
      </c>
      <c r="C40" s="9" t="s">
        <v>9</v>
      </c>
      <c r="D40" s="8" t="s">
        <v>10</v>
      </c>
      <c r="E40" s="19">
        <v>45955</v>
      </c>
      <c r="F40" s="19">
        <v>46581</v>
      </c>
      <c r="G40" s="10">
        <v>200</v>
      </c>
      <c r="H40" s="11">
        <v>32000</v>
      </c>
      <c r="I40" s="11">
        <f t="shared" si="0"/>
        <v>6400000</v>
      </c>
      <c r="J40" s="6">
        <f t="shared" ca="1" si="2"/>
        <v>259</v>
      </c>
      <c r="K40" s="8" t="str">
        <f t="shared" ca="1" si="1"/>
        <v>SAFE</v>
      </c>
    </row>
    <row r="41" spans="1:11" x14ac:dyDescent="0.25">
      <c r="A41" s="4" t="s">
        <v>65</v>
      </c>
      <c r="B41" s="4" t="s">
        <v>29</v>
      </c>
      <c r="C41" s="5" t="s">
        <v>30</v>
      </c>
      <c r="D41" s="4" t="s">
        <v>10</v>
      </c>
      <c r="E41" s="18">
        <v>45936</v>
      </c>
      <c r="F41" s="18">
        <v>46653</v>
      </c>
      <c r="G41" s="6">
        <v>200</v>
      </c>
      <c r="H41" s="7">
        <v>28000</v>
      </c>
      <c r="I41" s="7">
        <f t="shared" si="0"/>
        <v>5600000</v>
      </c>
      <c r="J41" s="6">
        <f t="shared" ca="1" si="2"/>
        <v>331</v>
      </c>
      <c r="K41" s="4" t="str">
        <f t="shared" ca="1" si="1"/>
        <v>SAFE</v>
      </c>
    </row>
    <row r="42" spans="1:11" x14ac:dyDescent="0.25">
      <c r="A42" s="8" t="s">
        <v>66</v>
      </c>
      <c r="B42" s="8" t="s">
        <v>45</v>
      </c>
      <c r="C42" s="9" t="s">
        <v>46</v>
      </c>
      <c r="D42" s="8" t="s">
        <v>14</v>
      </c>
      <c r="E42" s="19">
        <v>45959</v>
      </c>
      <c r="F42" s="19">
        <v>46313</v>
      </c>
      <c r="G42" s="10">
        <v>200</v>
      </c>
      <c r="H42" s="11">
        <v>96000</v>
      </c>
      <c r="I42" s="11">
        <f t="shared" si="0"/>
        <v>19200000</v>
      </c>
      <c r="J42" s="6">
        <f t="shared" ca="1" si="2"/>
        <v>-9</v>
      </c>
      <c r="K42" s="8" t="str">
        <f t="shared" ca="1" si="1"/>
        <v>EXPIRED</v>
      </c>
    </row>
    <row r="43" spans="1:11" x14ac:dyDescent="0.25">
      <c r="A43" s="4" t="s">
        <v>67</v>
      </c>
      <c r="B43" s="4" t="s">
        <v>33</v>
      </c>
      <c r="C43" s="5" t="s">
        <v>34</v>
      </c>
      <c r="D43" s="4" t="s">
        <v>35</v>
      </c>
      <c r="E43" s="18">
        <v>45920</v>
      </c>
      <c r="F43" s="18">
        <v>46292</v>
      </c>
      <c r="G43" s="6">
        <v>200</v>
      </c>
      <c r="H43" s="7">
        <v>52000</v>
      </c>
      <c r="I43" s="7">
        <f t="shared" si="0"/>
        <v>10400000</v>
      </c>
      <c r="J43" s="6">
        <f t="shared" ca="1" si="2"/>
        <v>-30</v>
      </c>
      <c r="K43" s="4" t="str">
        <f t="shared" ca="1" si="1"/>
        <v>EXPIRED</v>
      </c>
    </row>
    <row r="44" spans="1:11" x14ac:dyDescent="0.25">
      <c r="A44" s="8" t="s">
        <v>68</v>
      </c>
      <c r="B44" s="8" t="s">
        <v>16</v>
      </c>
      <c r="C44" s="9" t="s">
        <v>17</v>
      </c>
      <c r="D44" s="8" t="s">
        <v>6</v>
      </c>
      <c r="E44" s="19">
        <v>45845</v>
      </c>
      <c r="F44" s="19">
        <v>46392</v>
      </c>
      <c r="G44" s="10">
        <v>250</v>
      </c>
      <c r="H44" s="11">
        <v>62000</v>
      </c>
      <c r="I44" s="11">
        <f t="shared" si="0"/>
        <v>15500000</v>
      </c>
      <c r="J44" s="6">
        <f t="shared" ca="1" si="2"/>
        <v>70</v>
      </c>
      <c r="K44" s="8" t="str">
        <f t="shared" ca="1" si="1"/>
        <v>WARNING</v>
      </c>
    </row>
    <row r="45" spans="1:11" x14ac:dyDescent="0.25">
      <c r="A45" s="4" t="s">
        <v>69</v>
      </c>
      <c r="B45" s="4" t="s">
        <v>8</v>
      </c>
      <c r="C45" s="5" t="s">
        <v>9</v>
      </c>
      <c r="D45" s="4" t="s">
        <v>10</v>
      </c>
      <c r="E45" s="18">
        <v>46016</v>
      </c>
      <c r="F45" s="18">
        <v>46564</v>
      </c>
      <c r="G45" s="6">
        <v>250</v>
      </c>
      <c r="H45" s="7">
        <v>32000</v>
      </c>
      <c r="I45" s="7">
        <f t="shared" si="0"/>
        <v>8000000</v>
      </c>
      <c r="J45" s="6">
        <f t="shared" ca="1" si="2"/>
        <v>242</v>
      </c>
      <c r="K45" s="4" t="str">
        <f t="shared" ca="1" si="1"/>
        <v>SAFE</v>
      </c>
    </row>
    <row r="46" spans="1:11" x14ac:dyDescent="0.25">
      <c r="A46" s="8" t="s">
        <v>70</v>
      </c>
      <c r="B46" s="8" t="s">
        <v>29</v>
      </c>
      <c r="C46" s="9" t="s">
        <v>30</v>
      </c>
      <c r="D46" s="8" t="s">
        <v>10</v>
      </c>
      <c r="E46" s="19">
        <v>45924</v>
      </c>
      <c r="F46" s="19">
        <v>46431</v>
      </c>
      <c r="G46" s="10">
        <v>500</v>
      </c>
      <c r="H46" s="11">
        <v>28000</v>
      </c>
      <c r="I46" s="11">
        <f t="shared" si="0"/>
        <v>14000000</v>
      </c>
      <c r="J46" s="6">
        <f t="shared" ca="1" si="2"/>
        <v>109</v>
      </c>
      <c r="K46" s="8" t="str">
        <f t="shared" ca="1" si="1"/>
        <v>WARNING</v>
      </c>
    </row>
    <row r="47" spans="1:11" x14ac:dyDescent="0.25">
      <c r="A47" s="4" t="s">
        <v>71</v>
      </c>
      <c r="B47" s="4" t="s">
        <v>8</v>
      </c>
      <c r="C47" s="5" t="s">
        <v>9</v>
      </c>
      <c r="D47" s="4" t="s">
        <v>10</v>
      </c>
      <c r="E47" s="18">
        <v>45920</v>
      </c>
      <c r="F47" s="18">
        <v>46422</v>
      </c>
      <c r="G47" s="6">
        <v>1000</v>
      </c>
      <c r="H47" s="7">
        <v>33000</v>
      </c>
      <c r="I47" s="7">
        <f t="shared" si="0"/>
        <v>33000000</v>
      </c>
      <c r="J47" s="6">
        <f t="shared" ca="1" si="2"/>
        <v>100</v>
      </c>
      <c r="K47" s="4" t="str">
        <f t="shared" ca="1" si="1"/>
        <v>WARNING</v>
      </c>
    </row>
    <row r="48" spans="1:11" x14ac:dyDescent="0.25">
      <c r="A48" s="8" t="s">
        <v>72</v>
      </c>
      <c r="B48" s="8" t="s">
        <v>25</v>
      </c>
      <c r="C48" s="9" t="s">
        <v>26</v>
      </c>
      <c r="D48" s="8" t="s">
        <v>27</v>
      </c>
      <c r="E48" s="19">
        <v>46002</v>
      </c>
      <c r="F48" s="19">
        <v>46362</v>
      </c>
      <c r="G48" s="10">
        <v>1000</v>
      </c>
      <c r="H48" s="11">
        <v>58000</v>
      </c>
      <c r="I48" s="11">
        <f t="shared" si="0"/>
        <v>58000000</v>
      </c>
      <c r="J48" s="6">
        <f t="shared" ca="1" si="2"/>
        <v>40</v>
      </c>
      <c r="K48" s="8" t="str">
        <f t="shared" ca="1" si="1"/>
        <v>CRITICAL</v>
      </c>
    </row>
    <row r="49" spans="1:11" x14ac:dyDescent="0.25">
      <c r="A49" s="4" t="s">
        <v>73</v>
      </c>
      <c r="B49" s="4" t="s">
        <v>19</v>
      </c>
      <c r="C49" s="5" t="s">
        <v>20</v>
      </c>
      <c r="D49" s="4" t="s">
        <v>21</v>
      </c>
      <c r="E49" s="18">
        <v>45876</v>
      </c>
      <c r="F49" s="18">
        <v>46426</v>
      </c>
      <c r="G49" s="6">
        <v>200</v>
      </c>
      <c r="H49" s="7">
        <v>52000</v>
      </c>
      <c r="I49" s="7">
        <f t="shared" si="0"/>
        <v>10400000</v>
      </c>
      <c r="J49" s="6">
        <f t="shared" ca="1" si="2"/>
        <v>104</v>
      </c>
      <c r="K49" s="4" t="str">
        <f t="shared" ca="1" si="1"/>
        <v>WARNING</v>
      </c>
    </row>
    <row r="50" spans="1:11" x14ac:dyDescent="0.25">
      <c r="A50" s="8" t="s">
        <v>74</v>
      </c>
      <c r="B50" s="8" t="s">
        <v>29</v>
      </c>
      <c r="C50" s="9" t="s">
        <v>30</v>
      </c>
      <c r="D50" s="8" t="s">
        <v>10</v>
      </c>
      <c r="E50" s="19">
        <v>45943</v>
      </c>
      <c r="F50" s="19">
        <v>46653</v>
      </c>
      <c r="G50" s="10">
        <v>300</v>
      </c>
      <c r="H50" s="11">
        <v>27000</v>
      </c>
      <c r="I50" s="11">
        <f t="shared" si="0"/>
        <v>8100000</v>
      </c>
      <c r="J50" s="6">
        <f t="shared" ca="1" si="2"/>
        <v>331</v>
      </c>
      <c r="K50" s="8" t="str">
        <f t="shared" ca="1" si="1"/>
        <v>SAFE</v>
      </c>
    </row>
    <row r="51" spans="1:11" x14ac:dyDescent="0.25">
      <c r="A51" s="4" t="s">
        <v>75</v>
      </c>
      <c r="B51" s="4" t="s">
        <v>8</v>
      </c>
      <c r="C51" s="5" t="s">
        <v>9</v>
      </c>
      <c r="D51" s="4" t="s">
        <v>10</v>
      </c>
      <c r="E51" s="18">
        <v>45830</v>
      </c>
      <c r="F51" s="18">
        <v>46365</v>
      </c>
      <c r="G51" s="6">
        <v>1000</v>
      </c>
      <c r="H51" s="7">
        <v>34000</v>
      </c>
      <c r="I51" s="7">
        <f t="shared" si="0"/>
        <v>34000000</v>
      </c>
      <c r="J51" s="6">
        <f t="shared" ca="1" si="2"/>
        <v>43</v>
      </c>
      <c r="K51" s="4" t="str">
        <f t="shared" ca="1" si="1"/>
        <v>CRITICAL</v>
      </c>
    </row>
    <row r="52" spans="1:11" x14ac:dyDescent="0.25">
      <c r="A52" s="8" t="s">
        <v>76</v>
      </c>
      <c r="B52" s="8" t="s">
        <v>12</v>
      </c>
      <c r="C52" s="9" t="s">
        <v>13</v>
      </c>
      <c r="D52" s="8" t="s">
        <v>14</v>
      </c>
      <c r="E52" s="19">
        <v>46072</v>
      </c>
      <c r="F52" s="19">
        <v>46418</v>
      </c>
      <c r="G52" s="10">
        <v>250</v>
      </c>
      <c r="H52" s="11">
        <v>28000</v>
      </c>
      <c r="I52" s="11">
        <f t="shared" si="0"/>
        <v>7000000</v>
      </c>
      <c r="J52" s="6">
        <f t="shared" ca="1" si="2"/>
        <v>96</v>
      </c>
      <c r="K52" s="8" t="str">
        <f t="shared" ca="1" si="1"/>
        <v>WARNING</v>
      </c>
    </row>
    <row r="53" spans="1:11" x14ac:dyDescent="0.25">
      <c r="A53" s="4" t="s">
        <v>77</v>
      </c>
      <c r="B53" s="4" t="s">
        <v>19</v>
      </c>
      <c r="C53" s="5" t="s">
        <v>20</v>
      </c>
      <c r="D53" s="4" t="s">
        <v>21</v>
      </c>
      <c r="E53" s="18">
        <v>45955</v>
      </c>
      <c r="F53" s="18">
        <v>46316</v>
      </c>
      <c r="G53" s="6">
        <v>100</v>
      </c>
      <c r="H53" s="7">
        <v>48000</v>
      </c>
      <c r="I53" s="7">
        <f t="shared" si="0"/>
        <v>4800000</v>
      </c>
      <c r="J53" s="6">
        <f t="shared" ca="1" si="2"/>
        <v>-6</v>
      </c>
      <c r="K53" s="4" t="str">
        <f t="shared" ca="1" si="1"/>
        <v>EXPIRED</v>
      </c>
    </row>
    <row r="54" spans="1:11" x14ac:dyDescent="0.25">
      <c r="A54" s="8" t="s">
        <v>78</v>
      </c>
      <c r="B54" s="8" t="s">
        <v>16</v>
      </c>
      <c r="C54" s="9" t="s">
        <v>17</v>
      </c>
      <c r="D54" s="8" t="s">
        <v>6</v>
      </c>
      <c r="E54" s="19">
        <v>45814</v>
      </c>
      <c r="F54" s="19">
        <v>46442</v>
      </c>
      <c r="G54" s="10">
        <v>1000</v>
      </c>
      <c r="H54" s="11">
        <v>72000</v>
      </c>
      <c r="I54" s="11">
        <f t="shared" si="0"/>
        <v>72000000</v>
      </c>
      <c r="J54" s="6">
        <f t="shared" ca="1" si="2"/>
        <v>120</v>
      </c>
      <c r="K54" s="8" t="str">
        <f t="shared" ca="1" si="1"/>
        <v>WARNING</v>
      </c>
    </row>
    <row r="55" spans="1:11" x14ac:dyDescent="0.25">
      <c r="A55" s="4" t="s">
        <v>79</v>
      </c>
      <c r="B55" s="4" t="s">
        <v>19</v>
      </c>
      <c r="C55" s="5" t="s">
        <v>20</v>
      </c>
      <c r="D55" s="4" t="s">
        <v>21</v>
      </c>
      <c r="E55" s="18">
        <v>46110</v>
      </c>
      <c r="F55" s="18">
        <v>46817</v>
      </c>
      <c r="G55" s="6">
        <v>1000</v>
      </c>
      <c r="H55" s="7">
        <v>48000</v>
      </c>
      <c r="I55" s="7">
        <f t="shared" si="0"/>
        <v>48000000</v>
      </c>
      <c r="J55" s="6">
        <f t="shared" ca="1" si="2"/>
        <v>495</v>
      </c>
      <c r="K55" s="4" t="str">
        <f t="shared" ca="1" si="1"/>
        <v>SAFE</v>
      </c>
    </row>
    <row r="56" spans="1:11" x14ac:dyDescent="0.25">
      <c r="A56" s="8" t="s">
        <v>80</v>
      </c>
      <c r="B56" s="8" t="s">
        <v>16</v>
      </c>
      <c r="C56" s="9" t="s">
        <v>17</v>
      </c>
      <c r="D56" s="8" t="s">
        <v>6</v>
      </c>
      <c r="E56" s="19">
        <v>45969</v>
      </c>
      <c r="F56" s="19">
        <v>46606</v>
      </c>
      <c r="G56" s="10">
        <v>300</v>
      </c>
      <c r="H56" s="11">
        <v>65000</v>
      </c>
      <c r="I56" s="11">
        <f t="shared" si="0"/>
        <v>19500000</v>
      </c>
      <c r="J56" s="6">
        <f t="shared" ca="1" si="2"/>
        <v>284</v>
      </c>
      <c r="K56" s="8" t="str">
        <f t="shared" ca="1" si="1"/>
        <v>SAFE</v>
      </c>
    </row>
    <row r="57" spans="1:11" x14ac:dyDescent="0.25">
      <c r="A57" s="4" t="s">
        <v>81</v>
      </c>
      <c r="B57" s="4" t="s">
        <v>33</v>
      </c>
      <c r="C57" s="5" t="s">
        <v>34</v>
      </c>
      <c r="D57" s="4" t="s">
        <v>35</v>
      </c>
      <c r="E57" s="18">
        <v>45982</v>
      </c>
      <c r="F57" s="18">
        <v>46496</v>
      </c>
      <c r="G57" s="6">
        <v>1000</v>
      </c>
      <c r="H57" s="7">
        <v>53000</v>
      </c>
      <c r="I57" s="7">
        <f t="shared" si="0"/>
        <v>53000000</v>
      </c>
      <c r="J57" s="6">
        <f t="shared" ca="1" si="2"/>
        <v>174</v>
      </c>
      <c r="K57" s="4" t="str">
        <f t="shared" ca="1" si="1"/>
        <v>WARNING</v>
      </c>
    </row>
    <row r="58" spans="1:11" x14ac:dyDescent="0.25">
      <c r="A58" s="8" t="s">
        <v>82</v>
      </c>
      <c r="B58" s="8" t="s">
        <v>33</v>
      </c>
      <c r="C58" s="9" t="s">
        <v>34</v>
      </c>
      <c r="D58" s="8" t="s">
        <v>35</v>
      </c>
      <c r="E58" s="19">
        <v>46081</v>
      </c>
      <c r="F58" s="19">
        <v>46614</v>
      </c>
      <c r="G58" s="10">
        <v>500</v>
      </c>
      <c r="H58" s="11">
        <v>58000</v>
      </c>
      <c r="I58" s="11">
        <f t="shared" si="0"/>
        <v>29000000</v>
      </c>
      <c r="J58" s="6">
        <f t="shared" ca="1" si="2"/>
        <v>292</v>
      </c>
      <c r="K58" s="8" t="str">
        <f t="shared" ca="1" si="1"/>
        <v>SAFE</v>
      </c>
    </row>
    <row r="59" spans="1:11" x14ac:dyDescent="0.25">
      <c r="A59" s="4" t="s">
        <v>83</v>
      </c>
      <c r="B59" s="4" t="s">
        <v>33</v>
      </c>
      <c r="C59" s="5" t="s">
        <v>34</v>
      </c>
      <c r="D59" s="4" t="s">
        <v>35</v>
      </c>
      <c r="E59" s="18">
        <v>46055</v>
      </c>
      <c r="F59" s="18">
        <v>46327</v>
      </c>
      <c r="G59" s="6">
        <v>750</v>
      </c>
      <c r="H59" s="7">
        <v>61000</v>
      </c>
      <c r="I59" s="7">
        <f t="shared" si="0"/>
        <v>45750000</v>
      </c>
      <c r="J59" s="6">
        <f t="shared" ca="1" si="2"/>
        <v>5</v>
      </c>
      <c r="K59" s="4" t="str">
        <f t="shared" ca="1" si="1"/>
        <v>CRITICAL</v>
      </c>
    </row>
    <row r="60" spans="1:11" x14ac:dyDescent="0.25">
      <c r="A60" s="8" t="s">
        <v>84</v>
      </c>
      <c r="B60" s="8" t="s">
        <v>4</v>
      </c>
      <c r="C60" s="9" t="s">
        <v>5</v>
      </c>
      <c r="D60" s="8" t="s">
        <v>6</v>
      </c>
      <c r="E60" s="19">
        <v>45844</v>
      </c>
      <c r="F60" s="19">
        <v>46369</v>
      </c>
      <c r="G60" s="10">
        <v>100</v>
      </c>
      <c r="H60" s="11">
        <v>88000</v>
      </c>
      <c r="I60" s="11">
        <f t="shared" si="0"/>
        <v>8800000</v>
      </c>
      <c r="J60" s="6">
        <f t="shared" ca="1" si="2"/>
        <v>47</v>
      </c>
      <c r="K60" s="8" t="str">
        <f t="shared" ca="1" si="1"/>
        <v>CRITICAL</v>
      </c>
    </row>
    <row r="61" spans="1:11" x14ac:dyDescent="0.25">
      <c r="A61" s="4" t="s">
        <v>85</v>
      </c>
      <c r="B61" s="4" t="s">
        <v>8</v>
      </c>
      <c r="C61" s="5" t="s">
        <v>9</v>
      </c>
      <c r="D61" s="4" t="s">
        <v>10</v>
      </c>
      <c r="E61" s="18">
        <v>45951</v>
      </c>
      <c r="F61" s="18">
        <v>46572</v>
      </c>
      <c r="G61" s="6">
        <v>250</v>
      </c>
      <c r="H61" s="7">
        <v>38000</v>
      </c>
      <c r="I61" s="7">
        <f t="shared" si="0"/>
        <v>9500000</v>
      </c>
      <c r="J61" s="6">
        <f t="shared" ca="1" si="2"/>
        <v>250</v>
      </c>
      <c r="K61" s="4" t="str">
        <f t="shared" ca="1" si="1"/>
        <v>SAFE</v>
      </c>
    </row>
    <row r="62" spans="1:11" x14ac:dyDescent="0.25">
      <c r="A62" s="8" t="s">
        <v>86</v>
      </c>
      <c r="B62" s="8" t="s">
        <v>12</v>
      </c>
      <c r="C62" s="9" t="s">
        <v>13</v>
      </c>
      <c r="D62" s="8" t="s">
        <v>14</v>
      </c>
      <c r="E62" s="19">
        <v>45859</v>
      </c>
      <c r="F62" s="19">
        <v>46508</v>
      </c>
      <c r="G62" s="10">
        <v>200</v>
      </c>
      <c r="H62" s="11">
        <v>29000</v>
      </c>
      <c r="I62" s="11">
        <f t="shared" si="0"/>
        <v>5800000</v>
      </c>
      <c r="J62" s="6">
        <f t="shared" ca="1" si="2"/>
        <v>186</v>
      </c>
      <c r="K62" s="8" t="str">
        <f t="shared" ca="1" si="1"/>
        <v>SAFE</v>
      </c>
    </row>
    <row r="63" spans="1:11" x14ac:dyDescent="0.25">
      <c r="A63" s="4" t="s">
        <v>87</v>
      </c>
      <c r="B63" s="4" t="s">
        <v>33</v>
      </c>
      <c r="C63" s="5" t="s">
        <v>34</v>
      </c>
      <c r="D63" s="4" t="s">
        <v>35</v>
      </c>
      <c r="E63" s="18">
        <v>45988</v>
      </c>
      <c r="F63" s="18">
        <v>46442</v>
      </c>
      <c r="G63" s="6">
        <v>250</v>
      </c>
      <c r="H63" s="7">
        <v>56000</v>
      </c>
      <c r="I63" s="7">
        <f t="shared" si="0"/>
        <v>14000000</v>
      </c>
      <c r="J63" s="6">
        <f t="shared" ca="1" si="2"/>
        <v>120</v>
      </c>
      <c r="K63" s="4" t="str">
        <f t="shared" ca="1" si="1"/>
        <v>WARNING</v>
      </c>
    </row>
    <row r="64" spans="1:11" x14ac:dyDescent="0.25">
      <c r="A64" s="8" t="s">
        <v>88</v>
      </c>
      <c r="B64" s="8" t="s">
        <v>19</v>
      </c>
      <c r="C64" s="9" t="s">
        <v>20</v>
      </c>
      <c r="D64" s="8" t="s">
        <v>21</v>
      </c>
      <c r="E64" s="19">
        <v>46072</v>
      </c>
      <c r="F64" s="19">
        <v>46608</v>
      </c>
      <c r="G64" s="10">
        <v>1000</v>
      </c>
      <c r="H64" s="11">
        <v>51000</v>
      </c>
      <c r="I64" s="11">
        <f t="shared" si="0"/>
        <v>51000000</v>
      </c>
      <c r="J64" s="6">
        <f t="shared" ca="1" si="2"/>
        <v>286</v>
      </c>
      <c r="K64" s="8" t="str">
        <f t="shared" ca="1" si="1"/>
        <v>SAFE</v>
      </c>
    </row>
    <row r="65" spans="1:11" x14ac:dyDescent="0.25">
      <c r="A65" s="4" t="s">
        <v>89</v>
      </c>
      <c r="B65" s="4" t="s">
        <v>53</v>
      </c>
      <c r="C65" s="5" t="s">
        <v>54</v>
      </c>
      <c r="D65" s="4" t="s">
        <v>35</v>
      </c>
      <c r="E65" s="18">
        <v>46070</v>
      </c>
      <c r="F65" s="18">
        <v>46589</v>
      </c>
      <c r="G65" s="6">
        <v>250</v>
      </c>
      <c r="H65" s="7">
        <v>50000</v>
      </c>
      <c r="I65" s="7">
        <f t="shared" si="0"/>
        <v>12500000</v>
      </c>
      <c r="J65" s="6">
        <f t="shared" ca="1" si="2"/>
        <v>267</v>
      </c>
      <c r="K65" s="4" t="str">
        <f t="shared" ca="1" si="1"/>
        <v>SAFE</v>
      </c>
    </row>
    <row r="66" spans="1:11" x14ac:dyDescent="0.25">
      <c r="A66" s="8" t="s">
        <v>90</v>
      </c>
      <c r="B66" s="8" t="s">
        <v>4</v>
      </c>
      <c r="C66" s="9" t="s">
        <v>5</v>
      </c>
      <c r="D66" s="8" t="s">
        <v>6</v>
      </c>
      <c r="E66" s="19">
        <v>45952</v>
      </c>
      <c r="F66" s="19">
        <v>46684</v>
      </c>
      <c r="G66" s="10">
        <v>500</v>
      </c>
      <c r="H66" s="11">
        <v>77000</v>
      </c>
      <c r="I66" s="11">
        <f t="shared" si="0"/>
        <v>38500000</v>
      </c>
      <c r="J66" s="6">
        <f t="shared" ca="1" si="2"/>
        <v>362</v>
      </c>
      <c r="K66" s="8" t="str">
        <f t="shared" ca="1" si="1"/>
        <v>SAFE</v>
      </c>
    </row>
    <row r="67" spans="1:11" x14ac:dyDescent="0.25">
      <c r="A67" s="4" t="s">
        <v>91</v>
      </c>
      <c r="B67" s="4" t="s">
        <v>19</v>
      </c>
      <c r="C67" s="5" t="s">
        <v>20</v>
      </c>
      <c r="D67" s="4" t="s">
        <v>21</v>
      </c>
      <c r="E67" s="18">
        <v>45928</v>
      </c>
      <c r="F67" s="18">
        <v>46485</v>
      </c>
      <c r="G67" s="6">
        <v>500</v>
      </c>
      <c r="H67" s="7">
        <v>46000</v>
      </c>
      <c r="I67" s="7">
        <f t="shared" si="0"/>
        <v>23000000</v>
      </c>
      <c r="J67" s="6">
        <f t="shared" ca="1" si="2"/>
        <v>163</v>
      </c>
      <c r="K67" s="4" t="str">
        <f t="shared" ca="1" si="1"/>
        <v>WARNING</v>
      </c>
    </row>
    <row r="68" spans="1:11" x14ac:dyDescent="0.25">
      <c r="A68" s="8" t="s">
        <v>92</v>
      </c>
      <c r="B68" s="8" t="s">
        <v>16</v>
      </c>
      <c r="C68" s="9" t="s">
        <v>17</v>
      </c>
      <c r="D68" s="8" t="s">
        <v>6</v>
      </c>
      <c r="E68" s="19">
        <v>45925</v>
      </c>
      <c r="F68" s="19">
        <v>46433</v>
      </c>
      <c r="G68" s="10">
        <v>300</v>
      </c>
      <c r="H68" s="11">
        <v>60000</v>
      </c>
      <c r="I68" s="11">
        <f t="shared" si="0"/>
        <v>18000000</v>
      </c>
      <c r="J68" s="6">
        <f t="shared" ca="1" si="2"/>
        <v>111</v>
      </c>
      <c r="K68" s="8" t="str">
        <f t="shared" ca="1" si="1"/>
        <v>WARNING</v>
      </c>
    </row>
    <row r="69" spans="1:11" x14ac:dyDescent="0.25">
      <c r="A69" s="4" t="s">
        <v>93</v>
      </c>
      <c r="B69" s="4" t="s">
        <v>33</v>
      </c>
      <c r="C69" s="5" t="s">
        <v>34</v>
      </c>
      <c r="D69" s="4" t="s">
        <v>35</v>
      </c>
      <c r="E69" s="18">
        <v>45930</v>
      </c>
      <c r="F69" s="18">
        <v>46461</v>
      </c>
      <c r="G69" s="6">
        <v>200</v>
      </c>
      <c r="H69" s="7">
        <v>57000</v>
      </c>
      <c r="I69" s="7">
        <f t="shared" ref="I69:I132" si="3">G69*H69</f>
        <v>11400000</v>
      </c>
      <c r="J69" s="6">
        <f t="shared" ca="1" si="2"/>
        <v>139</v>
      </c>
      <c r="K69" s="4" t="str">
        <f t="shared" ref="K69:K132" ca="1" si="4">IF(J69&lt;0, "EXPIRED", IF(J69&lt;=60, "CRITICAL", IF(J69&lt;=180, "WARNING", "SAFE")))</f>
        <v>WARNING</v>
      </c>
    </row>
    <row r="70" spans="1:11" x14ac:dyDescent="0.25">
      <c r="A70" s="8" t="s">
        <v>94</v>
      </c>
      <c r="B70" s="8" t="s">
        <v>45</v>
      </c>
      <c r="C70" s="9" t="s">
        <v>46</v>
      </c>
      <c r="D70" s="8" t="s">
        <v>14</v>
      </c>
      <c r="E70" s="19">
        <v>46045</v>
      </c>
      <c r="F70" s="19">
        <v>46590</v>
      </c>
      <c r="G70" s="10">
        <v>300</v>
      </c>
      <c r="H70" s="11">
        <v>89000</v>
      </c>
      <c r="I70" s="11">
        <f t="shared" si="3"/>
        <v>26700000</v>
      </c>
      <c r="J70" s="6">
        <f t="shared" ref="J70:J133" ca="1" si="5">F70-TODAY()</f>
        <v>268</v>
      </c>
      <c r="K70" s="8" t="str">
        <f t="shared" ca="1" si="4"/>
        <v>SAFE</v>
      </c>
    </row>
    <row r="71" spans="1:11" x14ac:dyDescent="0.25">
      <c r="A71" s="4" t="s">
        <v>95</v>
      </c>
      <c r="B71" s="4" t="s">
        <v>12</v>
      </c>
      <c r="C71" s="5" t="s">
        <v>13</v>
      </c>
      <c r="D71" s="4" t="s">
        <v>14</v>
      </c>
      <c r="E71" s="18">
        <v>46055</v>
      </c>
      <c r="F71" s="18">
        <v>46520</v>
      </c>
      <c r="G71" s="6">
        <v>250</v>
      </c>
      <c r="H71" s="7">
        <v>32000</v>
      </c>
      <c r="I71" s="7">
        <f t="shared" si="3"/>
        <v>8000000</v>
      </c>
      <c r="J71" s="6">
        <f t="shared" ca="1" si="5"/>
        <v>198</v>
      </c>
      <c r="K71" s="4" t="str">
        <f t="shared" ca="1" si="4"/>
        <v>SAFE</v>
      </c>
    </row>
    <row r="72" spans="1:11" x14ac:dyDescent="0.25">
      <c r="A72" s="8" t="s">
        <v>96</v>
      </c>
      <c r="B72" s="8" t="s">
        <v>12</v>
      </c>
      <c r="C72" s="9" t="s">
        <v>13</v>
      </c>
      <c r="D72" s="8" t="s">
        <v>14</v>
      </c>
      <c r="E72" s="19">
        <v>45993</v>
      </c>
      <c r="F72" s="19">
        <v>47006</v>
      </c>
      <c r="G72" s="10">
        <v>100</v>
      </c>
      <c r="H72" s="11">
        <v>28000</v>
      </c>
      <c r="I72" s="11">
        <f t="shared" si="3"/>
        <v>2800000</v>
      </c>
      <c r="J72" s="6">
        <f t="shared" ca="1" si="5"/>
        <v>684</v>
      </c>
      <c r="K72" s="8" t="str">
        <f t="shared" ca="1" si="4"/>
        <v>SAFE</v>
      </c>
    </row>
    <row r="73" spans="1:11" x14ac:dyDescent="0.25">
      <c r="A73" s="4" t="s">
        <v>97</v>
      </c>
      <c r="B73" s="4" t="s">
        <v>53</v>
      </c>
      <c r="C73" s="5" t="s">
        <v>54</v>
      </c>
      <c r="D73" s="4" t="s">
        <v>35</v>
      </c>
      <c r="E73" s="18">
        <v>46012</v>
      </c>
      <c r="F73" s="18">
        <v>46477</v>
      </c>
      <c r="G73" s="6">
        <v>250</v>
      </c>
      <c r="H73" s="7">
        <v>54000</v>
      </c>
      <c r="I73" s="7">
        <f t="shared" si="3"/>
        <v>13500000</v>
      </c>
      <c r="J73" s="6">
        <f t="shared" ca="1" si="5"/>
        <v>155</v>
      </c>
      <c r="K73" s="4" t="str">
        <f t="shared" ca="1" si="4"/>
        <v>WARNING</v>
      </c>
    </row>
    <row r="74" spans="1:11" x14ac:dyDescent="0.25">
      <c r="A74" s="8" t="s">
        <v>98</v>
      </c>
      <c r="B74" s="8" t="s">
        <v>53</v>
      </c>
      <c r="C74" s="9" t="s">
        <v>54</v>
      </c>
      <c r="D74" s="8" t="s">
        <v>35</v>
      </c>
      <c r="E74" s="19">
        <v>46097</v>
      </c>
      <c r="F74" s="19">
        <v>46356</v>
      </c>
      <c r="G74" s="10">
        <v>250</v>
      </c>
      <c r="H74" s="11">
        <v>57000</v>
      </c>
      <c r="I74" s="11">
        <f t="shared" si="3"/>
        <v>14250000</v>
      </c>
      <c r="J74" s="6">
        <f t="shared" ca="1" si="5"/>
        <v>34</v>
      </c>
      <c r="K74" s="8" t="str">
        <f t="shared" ca="1" si="4"/>
        <v>CRITICAL</v>
      </c>
    </row>
    <row r="75" spans="1:11" x14ac:dyDescent="0.25">
      <c r="A75" s="4" t="s">
        <v>99</v>
      </c>
      <c r="B75" s="4" t="s">
        <v>12</v>
      </c>
      <c r="C75" s="5" t="s">
        <v>13</v>
      </c>
      <c r="D75" s="4" t="s">
        <v>14</v>
      </c>
      <c r="E75" s="18">
        <v>45908</v>
      </c>
      <c r="F75" s="18">
        <v>46357</v>
      </c>
      <c r="G75" s="6">
        <v>300</v>
      </c>
      <c r="H75" s="7">
        <v>29000</v>
      </c>
      <c r="I75" s="7">
        <f t="shared" si="3"/>
        <v>8700000</v>
      </c>
      <c r="J75" s="6">
        <f t="shared" ca="1" si="5"/>
        <v>35</v>
      </c>
      <c r="K75" s="4" t="str">
        <f t="shared" ca="1" si="4"/>
        <v>CRITICAL</v>
      </c>
    </row>
    <row r="76" spans="1:11" x14ac:dyDescent="0.25">
      <c r="A76" s="8" t="s">
        <v>100</v>
      </c>
      <c r="B76" s="8" t="s">
        <v>19</v>
      </c>
      <c r="C76" s="9" t="s">
        <v>20</v>
      </c>
      <c r="D76" s="8" t="s">
        <v>21</v>
      </c>
      <c r="E76" s="19">
        <v>45812</v>
      </c>
      <c r="F76" s="19">
        <v>46537</v>
      </c>
      <c r="G76" s="10">
        <v>300</v>
      </c>
      <c r="H76" s="11">
        <v>45000</v>
      </c>
      <c r="I76" s="11">
        <f t="shared" si="3"/>
        <v>13500000</v>
      </c>
      <c r="J76" s="6">
        <f t="shared" ca="1" si="5"/>
        <v>215</v>
      </c>
      <c r="K76" s="8" t="str">
        <f t="shared" ca="1" si="4"/>
        <v>SAFE</v>
      </c>
    </row>
    <row r="77" spans="1:11" x14ac:dyDescent="0.25">
      <c r="A77" s="4" t="s">
        <v>101</v>
      </c>
      <c r="B77" s="4" t="s">
        <v>53</v>
      </c>
      <c r="C77" s="5" t="s">
        <v>54</v>
      </c>
      <c r="D77" s="4" t="s">
        <v>35</v>
      </c>
      <c r="E77" s="18">
        <v>45960</v>
      </c>
      <c r="F77" s="18">
        <v>46672</v>
      </c>
      <c r="G77" s="6">
        <v>300</v>
      </c>
      <c r="H77" s="7">
        <v>48000</v>
      </c>
      <c r="I77" s="7">
        <f t="shared" si="3"/>
        <v>14400000</v>
      </c>
      <c r="J77" s="6">
        <f t="shared" ca="1" si="5"/>
        <v>350</v>
      </c>
      <c r="K77" s="4" t="str">
        <f t="shared" ca="1" si="4"/>
        <v>SAFE</v>
      </c>
    </row>
    <row r="78" spans="1:11" x14ac:dyDescent="0.25">
      <c r="A78" s="8" t="s">
        <v>102</v>
      </c>
      <c r="B78" s="8" t="s">
        <v>8</v>
      </c>
      <c r="C78" s="9" t="s">
        <v>9</v>
      </c>
      <c r="D78" s="8" t="s">
        <v>10</v>
      </c>
      <c r="E78" s="19">
        <v>45909</v>
      </c>
      <c r="F78" s="19">
        <v>46619</v>
      </c>
      <c r="G78" s="10">
        <v>1000</v>
      </c>
      <c r="H78" s="11">
        <v>33000</v>
      </c>
      <c r="I78" s="11">
        <f t="shared" si="3"/>
        <v>33000000</v>
      </c>
      <c r="J78" s="6">
        <f t="shared" ca="1" si="5"/>
        <v>297</v>
      </c>
      <c r="K78" s="8" t="str">
        <f t="shared" ca="1" si="4"/>
        <v>SAFE</v>
      </c>
    </row>
    <row r="79" spans="1:11" x14ac:dyDescent="0.25">
      <c r="A79" s="4" t="s">
        <v>103</v>
      </c>
      <c r="B79" s="4" t="s">
        <v>25</v>
      </c>
      <c r="C79" s="5" t="s">
        <v>26</v>
      </c>
      <c r="D79" s="4" t="s">
        <v>27</v>
      </c>
      <c r="E79" s="18">
        <v>46061</v>
      </c>
      <c r="F79" s="18">
        <v>46563</v>
      </c>
      <c r="G79" s="6">
        <v>250</v>
      </c>
      <c r="H79" s="7">
        <v>64000</v>
      </c>
      <c r="I79" s="7">
        <f t="shared" si="3"/>
        <v>16000000</v>
      </c>
      <c r="J79" s="6">
        <f t="shared" ca="1" si="5"/>
        <v>241</v>
      </c>
      <c r="K79" s="4" t="str">
        <f t="shared" ca="1" si="4"/>
        <v>SAFE</v>
      </c>
    </row>
    <row r="80" spans="1:11" x14ac:dyDescent="0.25">
      <c r="A80" s="8" t="s">
        <v>104</v>
      </c>
      <c r="B80" s="8" t="s">
        <v>29</v>
      </c>
      <c r="C80" s="9" t="s">
        <v>30</v>
      </c>
      <c r="D80" s="8" t="s">
        <v>10</v>
      </c>
      <c r="E80" s="19">
        <v>45901</v>
      </c>
      <c r="F80" s="19">
        <v>46451</v>
      </c>
      <c r="G80" s="10">
        <v>250</v>
      </c>
      <c r="H80" s="11">
        <v>27000</v>
      </c>
      <c r="I80" s="11">
        <f t="shared" si="3"/>
        <v>6750000</v>
      </c>
      <c r="J80" s="6">
        <f t="shared" ca="1" si="5"/>
        <v>129</v>
      </c>
      <c r="K80" s="8" t="str">
        <f t="shared" ca="1" si="4"/>
        <v>WARNING</v>
      </c>
    </row>
    <row r="81" spans="1:11" x14ac:dyDescent="0.25">
      <c r="A81" s="4" t="s">
        <v>105</v>
      </c>
      <c r="B81" s="4" t="s">
        <v>45</v>
      </c>
      <c r="C81" s="5" t="s">
        <v>46</v>
      </c>
      <c r="D81" s="4" t="s">
        <v>14</v>
      </c>
      <c r="E81" s="18">
        <v>46004</v>
      </c>
      <c r="F81" s="18">
        <v>46366</v>
      </c>
      <c r="G81" s="6">
        <v>300</v>
      </c>
      <c r="H81" s="7">
        <v>97000</v>
      </c>
      <c r="I81" s="7">
        <f t="shared" si="3"/>
        <v>29100000</v>
      </c>
      <c r="J81" s="6">
        <f t="shared" ca="1" si="5"/>
        <v>44</v>
      </c>
      <c r="K81" s="4" t="str">
        <f t="shared" ca="1" si="4"/>
        <v>CRITICAL</v>
      </c>
    </row>
    <row r="82" spans="1:11" x14ac:dyDescent="0.25">
      <c r="A82" s="8" t="s">
        <v>106</v>
      </c>
      <c r="B82" s="8" t="s">
        <v>29</v>
      </c>
      <c r="C82" s="9" t="s">
        <v>30</v>
      </c>
      <c r="D82" s="8" t="s">
        <v>10</v>
      </c>
      <c r="E82" s="19">
        <v>46025</v>
      </c>
      <c r="F82" s="19">
        <v>46574</v>
      </c>
      <c r="G82" s="10">
        <v>300</v>
      </c>
      <c r="H82" s="11">
        <v>29000</v>
      </c>
      <c r="I82" s="11">
        <f t="shared" si="3"/>
        <v>8700000</v>
      </c>
      <c r="J82" s="6">
        <f t="shared" ca="1" si="5"/>
        <v>252</v>
      </c>
      <c r="K82" s="8" t="str">
        <f t="shared" ca="1" si="4"/>
        <v>SAFE</v>
      </c>
    </row>
    <row r="83" spans="1:11" x14ac:dyDescent="0.25">
      <c r="A83" s="4" t="s">
        <v>107</v>
      </c>
      <c r="B83" s="4" t="s">
        <v>45</v>
      </c>
      <c r="C83" s="5" t="s">
        <v>46</v>
      </c>
      <c r="D83" s="4" t="s">
        <v>14</v>
      </c>
      <c r="E83" s="18">
        <v>46000</v>
      </c>
      <c r="F83" s="18">
        <v>46347</v>
      </c>
      <c r="G83" s="6">
        <v>250</v>
      </c>
      <c r="H83" s="7">
        <v>86000</v>
      </c>
      <c r="I83" s="7">
        <f t="shared" si="3"/>
        <v>21500000</v>
      </c>
      <c r="J83" s="6">
        <f t="shared" ca="1" si="5"/>
        <v>25</v>
      </c>
      <c r="K83" s="4" t="str">
        <f t="shared" ca="1" si="4"/>
        <v>CRITICAL</v>
      </c>
    </row>
    <row r="84" spans="1:11" x14ac:dyDescent="0.25">
      <c r="A84" s="8" t="s">
        <v>108</v>
      </c>
      <c r="B84" s="8" t="s">
        <v>19</v>
      </c>
      <c r="C84" s="9" t="s">
        <v>20</v>
      </c>
      <c r="D84" s="8" t="s">
        <v>21</v>
      </c>
      <c r="E84" s="19">
        <v>45904</v>
      </c>
      <c r="F84" s="19">
        <v>46553</v>
      </c>
      <c r="G84" s="10">
        <v>300</v>
      </c>
      <c r="H84" s="11">
        <v>48000</v>
      </c>
      <c r="I84" s="11">
        <f t="shared" si="3"/>
        <v>14400000</v>
      </c>
      <c r="J84" s="6">
        <f t="shared" ca="1" si="5"/>
        <v>231</v>
      </c>
      <c r="K84" s="8" t="str">
        <f t="shared" ca="1" si="4"/>
        <v>SAFE</v>
      </c>
    </row>
    <row r="85" spans="1:11" x14ac:dyDescent="0.25">
      <c r="A85" s="4" t="s">
        <v>109</v>
      </c>
      <c r="B85" s="4" t="s">
        <v>19</v>
      </c>
      <c r="C85" s="5" t="s">
        <v>20</v>
      </c>
      <c r="D85" s="4" t="s">
        <v>21</v>
      </c>
      <c r="E85" s="18">
        <v>45991</v>
      </c>
      <c r="F85" s="18">
        <v>46540</v>
      </c>
      <c r="G85" s="6">
        <v>200</v>
      </c>
      <c r="H85" s="7">
        <v>50000</v>
      </c>
      <c r="I85" s="7">
        <f t="shared" si="3"/>
        <v>10000000</v>
      </c>
      <c r="J85" s="6">
        <f t="shared" ca="1" si="5"/>
        <v>218</v>
      </c>
      <c r="K85" s="4" t="str">
        <f t="shared" ca="1" si="4"/>
        <v>SAFE</v>
      </c>
    </row>
    <row r="86" spans="1:11" x14ac:dyDescent="0.25">
      <c r="A86" s="8" t="s">
        <v>110</v>
      </c>
      <c r="B86" s="8" t="s">
        <v>19</v>
      </c>
      <c r="C86" s="9" t="s">
        <v>20</v>
      </c>
      <c r="D86" s="8" t="s">
        <v>21</v>
      </c>
      <c r="E86" s="19">
        <v>45870</v>
      </c>
      <c r="F86" s="19">
        <v>46514</v>
      </c>
      <c r="G86" s="10">
        <v>250</v>
      </c>
      <c r="H86" s="11">
        <v>47000</v>
      </c>
      <c r="I86" s="11">
        <f t="shared" si="3"/>
        <v>11750000</v>
      </c>
      <c r="J86" s="6">
        <f t="shared" ca="1" si="5"/>
        <v>192</v>
      </c>
      <c r="K86" s="8" t="str">
        <f t="shared" ca="1" si="4"/>
        <v>SAFE</v>
      </c>
    </row>
    <row r="87" spans="1:11" x14ac:dyDescent="0.25">
      <c r="A87" s="4" t="s">
        <v>111</v>
      </c>
      <c r="B87" s="4" t="s">
        <v>8</v>
      </c>
      <c r="C87" s="5" t="s">
        <v>9</v>
      </c>
      <c r="D87" s="4" t="s">
        <v>10</v>
      </c>
      <c r="E87" s="18">
        <v>45985</v>
      </c>
      <c r="F87" s="18">
        <v>46513</v>
      </c>
      <c r="G87" s="6">
        <v>750</v>
      </c>
      <c r="H87" s="7">
        <v>35000</v>
      </c>
      <c r="I87" s="7">
        <f t="shared" si="3"/>
        <v>26250000</v>
      </c>
      <c r="J87" s="6">
        <f t="shared" ca="1" si="5"/>
        <v>191</v>
      </c>
      <c r="K87" s="4" t="str">
        <f t="shared" ca="1" si="4"/>
        <v>SAFE</v>
      </c>
    </row>
    <row r="88" spans="1:11" x14ac:dyDescent="0.25">
      <c r="A88" s="8" t="s">
        <v>112</v>
      </c>
      <c r="B88" s="8" t="s">
        <v>45</v>
      </c>
      <c r="C88" s="9" t="s">
        <v>46</v>
      </c>
      <c r="D88" s="8" t="s">
        <v>14</v>
      </c>
      <c r="E88" s="19">
        <v>46092</v>
      </c>
      <c r="F88" s="19">
        <v>46816</v>
      </c>
      <c r="G88" s="10">
        <v>300</v>
      </c>
      <c r="H88" s="11">
        <v>89000</v>
      </c>
      <c r="I88" s="11">
        <f t="shared" si="3"/>
        <v>26700000</v>
      </c>
      <c r="J88" s="6">
        <f t="shared" ca="1" si="5"/>
        <v>494</v>
      </c>
      <c r="K88" s="8" t="str">
        <f t="shared" ca="1" si="4"/>
        <v>SAFE</v>
      </c>
    </row>
    <row r="89" spans="1:11" x14ac:dyDescent="0.25">
      <c r="A89" s="4" t="s">
        <v>113</v>
      </c>
      <c r="B89" s="4" t="s">
        <v>16</v>
      </c>
      <c r="C89" s="5" t="s">
        <v>17</v>
      </c>
      <c r="D89" s="4" t="s">
        <v>6</v>
      </c>
      <c r="E89" s="18">
        <v>45907</v>
      </c>
      <c r="F89" s="18">
        <v>46636</v>
      </c>
      <c r="G89" s="6">
        <v>300</v>
      </c>
      <c r="H89" s="7">
        <v>63000</v>
      </c>
      <c r="I89" s="7">
        <f t="shared" si="3"/>
        <v>18900000</v>
      </c>
      <c r="J89" s="6">
        <f t="shared" ca="1" si="5"/>
        <v>314</v>
      </c>
      <c r="K89" s="4" t="str">
        <f t="shared" ca="1" si="4"/>
        <v>SAFE</v>
      </c>
    </row>
    <row r="90" spans="1:11" x14ac:dyDescent="0.25">
      <c r="A90" s="8" t="s">
        <v>114</v>
      </c>
      <c r="B90" s="8" t="s">
        <v>16</v>
      </c>
      <c r="C90" s="9" t="s">
        <v>17</v>
      </c>
      <c r="D90" s="8" t="s">
        <v>6</v>
      </c>
      <c r="E90" s="19">
        <v>45959</v>
      </c>
      <c r="F90" s="19">
        <v>46490</v>
      </c>
      <c r="G90" s="10">
        <v>100</v>
      </c>
      <c r="H90" s="11">
        <v>69000</v>
      </c>
      <c r="I90" s="11">
        <f t="shared" si="3"/>
        <v>6900000</v>
      </c>
      <c r="J90" s="6">
        <f t="shared" ca="1" si="5"/>
        <v>168</v>
      </c>
      <c r="K90" s="8" t="str">
        <f t="shared" ca="1" si="4"/>
        <v>WARNING</v>
      </c>
    </row>
    <row r="91" spans="1:11" x14ac:dyDescent="0.25">
      <c r="A91" s="4" t="s">
        <v>115</v>
      </c>
      <c r="B91" s="4" t="s">
        <v>33</v>
      </c>
      <c r="C91" s="5" t="s">
        <v>34</v>
      </c>
      <c r="D91" s="4" t="s">
        <v>35</v>
      </c>
      <c r="E91" s="18">
        <v>46031</v>
      </c>
      <c r="F91" s="18">
        <v>46899</v>
      </c>
      <c r="G91" s="6">
        <v>750</v>
      </c>
      <c r="H91" s="7">
        <v>62000</v>
      </c>
      <c r="I91" s="7">
        <f t="shared" si="3"/>
        <v>46500000</v>
      </c>
      <c r="J91" s="6">
        <f t="shared" ca="1" si="5"/>
        <v>577</v>
      </c>
      <c r="K91" s="4" t="str">
        <f t="shared" ca="1" si="4"/>
        <v>SAFE</v>
      </c>
    </row>
    <row r="92" spans="1:11" x14ac:dyDescent="0.25">
      <c r="A92" s="8" t="s">
        <v>116</v>
      </c>
      <c r="B92" s="8" t="s">
        <v>25</v>
      </c>
      <c r="C92" s="9" t="s">
        <v>26</v>
      </c>
      <c r="D92" s="8" t="s">
        <v>27</v>
      </c>
      <c r="E92" s="19">
        <v>46047</v>
      </c>
      <c r="F92" s="19">
        <v>46922</v>
      </c>
      <c r="G92" s="10">
        <v>500</v>
      </c>
      <c r="H92" s="11">
        <v>55000</v>
      </c>
      <c r="I92" s="11">
        <f t="shared" si="3"/>
        <v>27500000</v>
      </c>
      <c r="J92" s="6">
        <f t="shared" ca="1" si="5"/>
        <v>600</v>
      </c>
      <c r="K92" s="8" t="str">
        <f t="shared" ca="1" si="4"/>
        <v>SAFE</v>
      </c>
    </row>
    <row r="93" spans="1:11" x14ac:dyDescent="0.25">
      <c r="A93" s="4" t="s">
        <v>117</v>
      </c>
      <c r="B93" s="4" t="s">
        <v>12</v>
      </c>
      <c r="C93" s="5" t="s">
        <v>13</v>
      </c>
      <c r="D93" s="4" t="s">
        <v>14</v>
      </c>
      <c r="E93" s="18">
        <v>45815</v>
      </c>
      <c r="F93" s="18">
        <v>46807</v>
      </c>
      <c r="G93" s="6">
        <v>100</v>
      </c>
      <c r="H93" s="7">
        <v>29000</v>
      </c>
      <c r="I93" s="7">
        <f t="shared" si="3"/>
        <v>2900000</v>
      </c>
      <c r="J93" s="6">
        <f t="shared" ca="1" si="5"/>
        <v>485</v>
      </c>
      <c r="K93" s="4" t="str">
        <f t="shared" ca="1" si="4"/>
        <v>SAFE</v>
      </c>
    </row>
    <row r="94" spans="1:11" x14ac:dyDescent="0.25">
      <c r="A94" s="8" t="s">
        <v>118</v>
      </c>
      <c r="B94" s="8" t="s">
        <v>33</v>
      </c>
      <c r="C94" s="9" t="s">
        <v>34</v>
      </c>
      <c r="D94" s="8" t="s">
        <v>35</v>
      </c>
      <c r="E94" s="19">
        <v>46002</v>
      </c>
      <c r="F94" s="19">
        <v>46872</v>
      </c>
      <c r="G94" s="10">
        <v>200</v>
      </c>
      <c r="H94" s="11">
        <v>59000</v>
      </c>
      <c r="I94" s="11">
        <f t="shared" si="3"/>
        <v>11800000</v>
      </c>
      <c r="J94" s="6">
        <f t="shared" ca="1" si="5"/>
        <v>550</v>
      </c>
      <c r="K94" s="8" t="str">
        <f t="shared" ca="1" si="4"/>
        <v>SAFE</v>
      </c>
    </row>
    <row r="95" spans="1:11" x14ac:dyDescent="0.25">
      <c r="A95" s="4" t="s">
        <v>119</v>
      </c>
      <c r="B95" s="4" t="s">
        <v>19</v>
      </c>
      <c r="C95" s="5" t="s">
        <v>20</v>
      </c>
      <c r="D95" s="4" t="s">
        <v>21</v>
      </c>
      <c r="E95" s="18">
        <v>45953</v>
      </c>
      <c r="F95" s="18">
        <v>46682</v>
      </c>
      <c r="G95" s="6">
        <v>300</v>
      </c>
      <c r="H95" s="7">
        <v>48000</v>
      </c>
      <c r="I95" s="7">
        <f t="shared" si="3"/>
        <v>14400000</v>
      </c>
      <c r="J95" s="6">
        <f t="shared" ca="1" si="5"/>
        <v>360</v>
      </c>
      <c r="K95" s="4" t="str">
        <f t="shared" ca="1" si="4"/>
        <v>SAFE</v>
      </c>
    </row>
    <row r="96" spans="1:11" x14ac:dyDescent="0.25">
      <c r="A96" s="8" t="s">
        <v>120</v>
      </c>
      <c r="B96" s="8" t="s">
        <v>12</v>
      </c>
      <c r="C96" s="9" t="s">
        <v>13</v>
      </c>
      <c r="D96" s="8" t="s">
        <v>14</v>
      </c>
      <c r="E96" s="19">
        <v>46060</v>
      </c>
      <c r="F96" s="19">
        <v>46588</v>
      </c>
      <c r="G96" s="10">
        <v>250</v>
      </c>
      <c r="H96" s="11">
        <v>34000</v>
      </c>
      <c r="I96" s="11">
        <f t="shared" si="3"/>
        <v>8500000</v>
      </c>
      <c r="J96" s="6">
        <f t="shared" ca="1" si="5"/>
        <v>266</v>
      </c>
      <c r="K96" s="8" t="str">
        <f t="shared" ca="1" si="4"/>
        <v>SAFE</v>
      </c>
    </row>
    <row r="97" spans="1:11" x14ac:dyDescent="0.25">
      <c r="A97" s="4" t="s">
        <v>121</v>
      </c>
      <c r="B97" s="4" t="s">
        <v>33</v>
      </c>
      <c r="C97" s="5" t="s">
        <v>34</v>
      </c>
      <c r="D97" s="4" t="s">
        <v>35</v>
      </c>
      <c r="E97" s="18">
        <v>45827</v>
      </c>
      <c r="F97" s="18">
        <v>47060</v>
      </c>
      <c r="G97" s="6">
        <v>200</v>
      </c>
      <c r="H97" s="7">
        <v>53000</v>
      </c>
      <c r="I97" s="7">
        <f t="shared" si="3"/>
        <v>10600000</v>
      </c>
      <c r="J97" s="6">
        <f t="shared" ca="1" si="5"/>
        <v>738</v>
      </c>
      <c r="K97" s="4" t="str">
        <f t="shared" ca="1" si="4"/>
        <v>SAFE</v>
      </c>
    </row>
    <row r="98" spans="1:11" x14ac:dyDescent="0.25">
      <c r="A98" s="8" t="s">
        <v>122</v>
      </c>
      <c r="B98" s="8" t="s">
        <v>33</v>
      </c>
      <c r="C98" s="9" t="s">
        <v>34</v>
      </c>
      <c r="D98" s="8" t="s">
        <v>35</v>
      </c>
      <c r="E98" s="19">
        <v>45956</v>
      </c>
      <c r="F98" s="19">
        <v>46850</v>
      </c>
      <c r="G98" s="10">
        <v>500</v>
      </c>
      <c r="H98" s="11">
        <v>58000</v>
      </c>
      <c r="I98" s="11">
        <f t="shared" si="3"/>
        <v>29000000</v>
      </c>
      <c r="J98" s="6">
        <f t="shared" ca="1" si="5"/>
        <v>528</v>
      </c>
      <c r="K98" s="8" t="str">
        <f t="shared" ca="1" si="4"/>
        <v>SAFE</v>
      </c>
    </row>
    <row r="99" spans="1:11" x14ac:dyDescent="0.25">
      <c r="A99" s="4" t="s">
        <v>123</v>
      </c>
      <c r="B99" s="4" t="s">
        <v>19</v>
      </c>
      <c r="C99" s="5" t="s">
        <v>20</v>
      </c>
      <c r="D99" s="4" t="s">
        <v>21</v>
      </c>
      <c r="E99" s="18">
        <v>45998</v>
      </c>
      <c r="F99" s="18">
        <v>46280</v>
      </c>
      <c r="G99" s="6">
        <v>200</v>
      </c>
      <c r="H99" s="7">
        <v>52000</v>
      </c>
      <c r="I99" s="7">
        <f t="shared" si="3"/>
        <v>10400000</v>
      </c>
      <c r="J99" s="6">
        <f t="shared" ca="1" si="5"/>
        <v>-42</v>
      </c>
      <c r="K99" s="4" t="str">
        <f t="shared" ca="1" si="4"/>
        <v>EXPIRED</v>
      </c>
    </row>
    <row r="100" spans="1:11" x14ac:dyDescent="0.25">
      <c r="A100" s="8" t="s">
        <v>124</v>
      </c>
      <c r="B100" s="8" t="s">
        <v>19</v>
      </c>
      <c r="C100" s="9" t="s">
        <v>20</v>
      </c>
      <c r="D100" s="8" t="s">
        <v>21</v>
      </c>
      <c r="E100" s="19">
        <v>45925</v>
      </c>
      <c r="F100" s="19">
        <v>46641</v>
      </c>
      <c r="G100" s="10">
        <v>1000</v>
      </c>
      <c r="H100" s="11">
        <v>49000</v>
      </c>
      <c r="I100" s="11">
        <f t="shared" si="3"/>
        <v>49000000</v>
      </c>
      <c r="J100" s="6">
        <f t="shared" ca="1" si="5"/>
        <v>319</v>
      </c>
      <c r="K100" s="8" t="str">
        <f t="shared" ca="1" si="4"/>
        <v>SAFE</v>
      </c>
    </row>
    <row r="101" spans="1:11" x14ac:dyDescent="0.25">
      <c r="A101" s="4" t="s">
        <v>125</v>
      </c>
      <c r="B101" s="4" t="s">
        <v>16</v>
      </c>
      <c r="C101" s="5" t="s">
        <v>17</v>
      </c>
      <c r="D101" s="4" t="s">
        <v>6</v>
      </c>
      <c r="E101" s="18">
        <v>45888</v>
      </c>
      <c r="F101" s="18">
        <v>46608</v>
      </c>
      <c r="G101" s="6">
        <v>750</v>
      </c>
      <c r="H101" s="7">
        <v>63000</v>
      </c>
      <c r="I101" s="7">
        <f t="shared" si="3"/>
        <v>47250000</v>
      </c>
      <c r="J101" s="6">
        <f t="shared" ca="1" si="5"/>
        <v>286</v>
      </c>
      <c r="K101" s="4" t="str">
        <f t="shared" ca="1" si="4"/>
        <v>SAFE</v>
      </c>
    </row>
    <row r="102" spans="1:11" x14ac:dyDescent="0.25">
      <c r="A102" s="8" t="s">
        <v>126</v>
      </c>
      <c r="B102" s="8" t="s">
        <v>8</v>
      </c>
      <c r="C102" s="9" t="s">
        <v>9</v>
      </c>
      <c r="D102" s="8" t="s">
        <v>10</v>
      </c>
      <c r="E102" s="19">
        <v>45955</v>
      </c>
      <c r="F102" s="19">
        <v>46677</v>
      </c>
      <c r="G102" s="10">
        <v>200</v>
      </c>
      <c r="H102" s="11">
        <v>32000</v>
      </c>
      <c r="I102" s="11">
        <f t="shared" si="3"/>
        <v>6400000</v>
      </c>
      <c r="J102" s="6">
        <f t="shared" ca="1" si="5"/>
        <v>355</v>
      </c>
      <c r="K102" s="8" t="str">
        <f t="shared" ca="1" si="4"/>
        <v>SAFE</v>
      </c>
    </row>
    <row r="103" spans="1:11" x14ac:dyDescent="0.25">
      <c r="A103" s="4" t="s">
        <v>127</v>
      </c>
      <c r="B103" s="4" t="s">
        <v>19</v>
      </c>
      <c r="C103" s="5" t="s">
        <v>20</v>
      </c>
      <c r="D103" s="4" t="s">
        <v>21</v>
      </c>
      <c r="E103" s="18">
        <v>45862</v>
      </c>
      <c r="F103" s="18">
        <v>46222</v>
      </c>
      <c r="G103" s="6">
        <v>500</v>
      </c>
      <c r="H103" s="7">
        <v>47000</v>
      </c>
      <c r="I103" s="7">
        <f t="shared" si="3"/>
        <v>23500000</v>
      </c>
      <c r="J103" s="6">
        <f t="shared" ca="1" si="5"/>
        <v>-100</v>
      </c>
      <c r="K103" s="4" t="str">
        <f t="shared" ca="1" si="4"/>
        <v>EXPIRED</v>
      </c>
    </row>
    <row r="104" spans="1:11" x14ac:dyDescent="0.25">
      <c r="A104" s="8" t="s">
        <v>128</v>
      </c>
      <c r="B104" s="8" t="s">
        <v>33</v>
      </c>
      <c r="C104" s="9" t="s">
        <v>34</v>
      </c>
      <c r="D104" s="8" t="s">
        <v>35</v>
      </c>
      <c r="E104" s="19">
        <v>46032</v>
      </c>
      <c r="F104" s="19">
        <v>46537</v>
      </c>
      <c r="G104" s="10">
        <v>250</v>
      </c>
      <c r="H104" s="11">
        <v>56000</v>
      </c>
      <c r="I104" s="11">
        <f t="shared" si="3"/>
        <v>14000000</v>
      </c>
      <c r="J104" s="6">
        <f t="shared" ca="1" si="5"/>
        <v>215</v>
      </c>
      <c r="K104" s="8" t="str">
        <f t="shared" ca="1" si="4"/>
        <v>SAFE</v>
      </c>
    </row>
    <row r="105" spans="1:11" x14ac:dyDescent="0.25">
      <c r="A105" s="4" t="s">
        <v>129</v>
      </c>
      <c r="B105" s="4" t="s">
        <v>29</v>
      </c>
      <c r="C105" s="5" t="s">
        <v>30</v>
      </c>
      <c r="D105" s="4" t="s">
        <v>10</v>
      </c>
      <c r="E105" s="18">
        <v>45930</v>
      </c>
      <c r="F105" s="18">
        <v>46485</v>
      </c>
      <c r="G105" s="6">
        <v>250</v>
      </c>
      <c r="H105" s="7">
        <v>28000</v>
      </c>
      <c r="I105" s="7">
        <f t="shared" si="3"/>
        <v>7000000</v>
      </c>
      <c r="J105" s="6">
        <f t="shared" ca="1" si="5"/>
        <v>163</v>
      </c>
      <c r="K105" s="4" t="str">
        <f t="shared" ca="1" si="4"/>
        <v>WARNING</v>
      </c>
    </row>
    <row r="106" spans="1:11" x14ac:dyDescent="0.25">
      <c r="A106" s="8" t="s">
        <v>130</v>
      </c>
      <c r="B106" s="8" t="s">
        <v>25</v>
      </c>
      <c r="C106" s="9" t="s">
        <v>26</v>
      </c>
      <c r="D106" s="8" t="s">
        <v>27</v>
      </c>
      <c r="E106" s="19">
        <v>45836</v>
      </c>
      <c r="F106" s="19">
        <v>47075</v>
      </c>
      <c r="G106" s="10">
        <v>200</v>
      </c>
      <c r="H106" s="11">
        <v>65000</v>
      </c>
      <c r="I106" s="11">
        <f t="shared" si="3"/>
        <v>13000000</v>
      </c>
      <c r="J106" s="6">
        <f t="shared" ca="1" si="5"/>
        <v>753</v>
      </c>
      <c r="K106" s="8" t="str">
        <f t="shared" ca="1" si="4"/>
        <v>SAFE</v>
      </c>
    </row>
    <row r="107" spans="1:11" x14ac:dyDescent="0.25">
      <c r="A107" s="4" t="s">
        <v>131</v>
      </c>
      <c r="B107" s="4" t="s">
        <v>12</v>
      </c>
      <c r="C107" s="5" t="s">
        <v>13</v>
      </c>
      <c r="D107" s="4" t="s">
        <v>14</v>
      </c>
      <c r="E107" s="18">
        <v>45953</v>
      </c>
      <c r="F107" s="18">
        <v>46503</v>
      </c>
      <c r="G107" s="6">
        <v>500</v>
      </c>
      <c r="H107" s="7">
        <v>31000</v>
      </c>
      <c r="I107" s="7">
        <f t="shared" si="3"/>
        <v>15500000</v>
      </c>
      <c r="J107" s="6">
        <f t="shared" ca="1" si="5"/>
        <v>181</v>
      </c>
      <c r="K107" s="4" t="str">
        <f t="shared" ca="1" si="4"/>
        <v>SAFE</v>
      </c>
    </row>
    <row r="108" spans="1:11" x14ac:dyDescent="0.25">
      <c r="A108" s="8" t="s">
        <v>132</v>
      </c>
      <c r="B108" s="8" t="s">
        <v>8</v>
      </c>
      <c r="C108" s="9" t="s">
        <v>9</v>
      </c>
      <c r="D108" s="8" t="s">
        <v>10</v>
      </c>
      <c r="E108" s="19">
        <v>46061</v>
      </c>
      <c r="F108" s="19">
        <v>46784</v>
      </c>
      <c r="G108" s="10">
        <v>500</v>
      </c>
      <c r="H108" s="11">
        <v>38000</v>
      </c>
      <c r="I108" s="11">
        <f t="shared" si="3"/>
        <v>19000000</v>
      </c>
      <c r="J108" s="6">
        <f t="shared" ca="1" si="5"/>
        <v>462</v>
      </c>
      <c r="K108" s="8" t="str">
        <f t="shared" ca="1" si="4"/>
        <v>SAFE</v>
      </c>
    </row>
    <row r="109" spans="1:11" x14ac:dyDescent="0.25">
      <c r="A109" s="4" t="s">
        <v>133</v>
      </c>
      <c r="B109" s="4" t="s">
        <v>45</v>
      </c>
      <c r="C109" s="5" t="s">
        <v>46</v>
      </c>
      <c r="D109" s="4" t="s">
        <v>14</v>
      </c>
      <c r="E109" s="18">
        <v>45818</v>
      </c>
      <c r="F109" s="18">
        <v>46540</v>
      </c>
      <c r="G109" s="6">
        <v>300</v>
      </c>
      <c r="H109" s="7">
        <v>89000</v>
      </c>
      <c r="I109" s="7">
        <f t="shared" si="3"/>
        <v>26700000</v>
      </c>
      <c r="J109" s="6">
        <f t="shared" ca="1" si="5"/>
        <v>218</v>
      </c>
      <c r="K109" s="4" t="str">
        <f t="shared" ca="1" si="4"/>
        <v>SAFE</v>
      </c>
    </row>
    <row r="110" spans="1:11" x14ac:dyDescent="0.25">
      <c r="A110" s="8" t="s">
        <v>134</v>
      </c>
      <c r="B110" s="8" t="s">
        <v>4</v>
      </c>
      <c r="C110" s="9" t="s">
        <v>5</v>
      </c>
      <c r="D110" s="8" t="s">
        <v>6</v>
      </c>
      <c r="E110" s="19">
        <v>46097</v>
      </c>
      <c r="F110" s="19">
        <v>46639</v>
      </c>
      <c r="G110" s="10">
        <v>1000</v>
      </c>
      <c r="H110" s="11">
        <v>75000</v>
      </c>
      <c r="I110" s="11">
        <f t="shared" si="3"/>
        <v>75000000</v>
      </c>
      <c r="J110" s="6">
        <f t="shared" ca="1" si="5"/>
        <v>317</v>
      </c>
      <c r="K110" s="8" t="str">
        <f t="shared" ca="1" si="4"/>
        <v>SAFE</v>
      </c>
    </row>
    <row r="111" spans="1:11" x14ac:dyDescent="0.25">
      <c r="A111" s="4" t="s">
        <v>135</v>
      </c>
      <c r="B111" s="4" t="s">
        <v>16</v>
      </c>
      <c r="C111" s="5" t="s">
        <v>17</v>
      </c>
      <c r="D111" s="4" t="s">
        <v>6</v>
      </c>
      <c r="E111" s="18">
        <v>46090</v>
      </c>
      <c r="F111" s="18">
        <v>46366</v>
      </c>
      <c r="G111" s="6">
        <v>500</v>
      </c>
      <c r="H111" s="7">
        <v>60000</v>
      </c>
      <c r="I111" s="7">
        <f t="shared" si="3"/>
        <v>30000000</v>
      </c>
      <c r="J111" s="6">
        <f t="shared" ca="1" si="5"/>
        <v>44</v>
      </c>
      <c r="K111" s="4" t="str">
        <f t="shared" ca="1" si="4"/>
        <v>CRITICAL</v>
      </c>
    </row>
    <row r="112" spans="1:11" x14ac:dyDescent="0.25">
      <c r="A112" s="8" t="s">
        <v>136</v>
      </c>
      <c r="B112" s="8" t="s">
        <v>19</v>
      </c>
      <c r="C112" s="9" t="s">
        <v>20</v>
      </c>
      <c r="D112" s="8" t="s">
        <v>21</v>
      </c>
      <c r="E112" s="19">
        <v>45906</v>
      </c>
      <c r="F112" s="19">
        <v>47077</v>
      </c>
      <c r="G112" s="10">
        <v>100</v>
      </c>
      <c r="H112" s="11">
        <v>51000</v>
      </c>
      <c r="I112" s="11">
        <f t="shared" si="3"/>
        <v>5100000</v>
      </c>
      <c r="J112" s="6">
        <f t="shared" ca="1" si="5"/>
        <v>755</v>
      </c>
      <c r="K112" s="8" t="str">
        <f t="shared" ca="1" si="4"/>
        <v>SAFE</v>
      </c>
    </row>
    <row r="113" spans="1:11" x14ac:dyDescent="0.25">
      <c r="A113" s="4" t="s">
        <v>137</v>
      </c>
      <c r="B113" s="4" t="s">
        <v>12</v>
      </c>
      <c r="C113" s="5" t="s">
        <v>13</v>
      </c>
      <c r="D113" s="4" t="s">
        <v>14</v>
      </c>
      <c r="E113" s="18">
        <v>46005</v>
      </c>
      <c r="F113" s="18">
        <v>46715</v>
      </c>
      <c r="G113" s="6">
        <v>750</v>
      </c>
      <c r="H113" s="7">
        <v>34000</v>
      </c>
      <c r="I113" s="7">
        <f t="shared" si="3"/>
        <v>25500000</v>
      </c>
      <c r="J113" s="6">
        <f t="shared" ca="1" si="5"/>
        <v>393</v>
      </c>
      <c r="K113" s="4" t="str">
        <f t="shared" ca="1" si="4"/>
        <v>SAFE</v>
      </c>
    </row>
    <row r="114" spans="1:11" x14ac:dyDescent="0.25">
      <c r="A114" s="8" t="s">
        <v>138</v>
      </c>
      <c r="B114" s="8" t="s">
        <v>16</v>
      </c>
      <c r="C114" s="9" t="s">
        <v>17</v>
      </c>
      <c r="D114" s="8" t="s">
        <v>6</v>
      </c>
      <c r="E114" s="19">
        <v>45861</v>
      </c>
      <c r="F114" s="19">
        <v>46575</v>
      </c>
      <c r="G114" s="10">
        <v>250</v>
      </c>
      <c r="H114" s="11">
        <v>64000</v>
      </c>
      <c r="I114" s="11">
        <f t="shared" si="3"/>
        <v>16000000</v>
      </c>
      <c r="J114" s="6">
        <f t="shared" ca="1" si="5"/>
        <v>253</v>
      </c>
      <c r="K114" s="8" t="str">
        <f t="shared" ca="1" si="4"/>
        <v>SAFE</v>
      </c>
    </row>
    <row r="115" spans="1:11" x14ac:dyDescent="0.25">
      <c r="A115" s="4" t="s">
        <v>139</v>
      </c>
      <c r="B115" s="4" t="s">
        <v>45</v>
      </c>
      <c r="C115" s="5" t="s">
        <v>46</v>
      </c>
      <c r="D115" s="4" t="s">
        <v>14</v>
      </c>
      <c r="E115" s="18">
        <v>45809</v>
      </c>
      <c r="F115" s="18">
        <v>46526</v>
      </c>
      <c r="G115" s="6">
        <v>200</v>
      </c>
      <c r="H115" s="7">
        <v>85000</v>
      </c>
      <c r="I115" s="7">
        <f t="shared" si="3"/>
        <v>17000000</v>
      </c>
      <c r="J115" s="6">
        <f t="shared" ca="1" si="5"/>
        <v>204</v>
      </c>
      <c r="K115" s="4" t="str">
        <f t="shared" ca="1" si="4"/>
        <v>SAFE</v>
      </c>
    </row>
    <row r="116" spans="1:11" x14ac:dyDescent="0.25">
      <c r="A116" s="8" t="s">
        <v>140</v>
      </c>
      <c r="B116" s="8" t="s">
        <v>19</v>
      </c>
      <c r="C116" s="9" t="s">
        <v>20</v>
      </c>
      <c r="D116" s="8" t="s">
        <v>21</v>
      </c>
      <c r="E116" s="19">
        <v>46096</v>
      </c>
      <c r="F116" s="19">
        <v>46543</v>
      </c>
      <c r="G116" s="10">
        <v>100</v>
      </c>
      <c r="H116" s="11">
        <v>46000</v>
      </c>
      <c r="I116" s="11">
        <f t="shared" si="3"/>
        <v>4600000</v>
      </c>
      <c r="J116" s="6">
        <f t="shared" ca="1" si="5"/>
        <v>221</v>
      </c>
      <c r="K116" s="8" t="str">
        <f t="shared" ca="1" si="4"/>
        <v>SAFE</v>
      </c>
    </row>
    <row r="117" spans="1:11" x14ac:dyDescent="0.25">
      <c r="A117" s="4" t="s">
        <v>141</v>
      </c>
      <c r="B117" s="4" t="s">
        <v>25</v>
      </c>
      <c r="C117" s="5" t="s">
        <v>26</v>
      </c>
      <c r="D117" s="4" t="s">
        <v>27</v>
      </c>
      <c r="E117" s="18">
        <v>45926</v>
      </c>
      <c r="F117" s="18">
        <v>46468</v>
      </c>
      <c r="G117" s="6">
        <v>750</v>
      </c>
      <c r="H117" s="7">
        <v>60000</v>
      </c>
      <c r="I117" s="7">
        <f t="shared" si="3"/>
        <v>45000000</v>
      </c>
      <c r="J117" s="6">
        <f t="shared" ca="1" si="5"/>
        <v>146</v>
      </c>
      <c r="K117" s="4" t="str">
        <f t="shared" ca="1" si="4"/>
        <v>WARNING</v>
      </c>
    </row>
    <row r="118" spans="1:11" x14ac:dyDescent="0.25">
      <c r="A118" s="8" t="s">
        <v>142</v>
      </c>
      <c r="B118" s="8" t="s">
        <v>16</v>
      </c>
      <c r="C118" s="9" t="s">
        <v>17</v>
      </c>
      <c r="D118" s="8" t="s">
        <v>6</v>
      </c>
      <c r="E118" s="19">
        <v>46030</v>
      </c>
      <c r="F118" s="19">
        <v>46571</v>
      </c>
      <c r="G118" s="10">
        <v>200</v>
      </c>
      <c r="H118" s="11">
        <v>66000</v>
      </c>
      <c r="I118" s="11">
        <f t="shared" si="3"/>
        <v>13200000</v>
      </c>
      <c r="J118" s="6">
        <f t="shared" ca="1" si="5"/>
        <v>249</v>
      </c>
      <c r="K118" s="8" t="str">
        <f t="shared" ca="1" si="4"/>
        <v>SAFE</v>
      </c>
    </row>
    <row r="119" spans="1:11" x14ac:dyDescent="0.25">
      <c r="A119" s="4" t="s">
        <v>143</v>
      </c>
      <c r="B119" s="4" t="s">
        <v>16</v>
      </c>
      <c r="C119" s="5" t="s">
        <v>17</v>
      </c>
      <c r="D119" s="4" t="s">
        <v>6</v>
      </c>
      <c r="E119" s="18">
        <v>45874</v>
      </c>
      <c r="F119" s="18">
        <v>46405</v>
      </c>
      <c r="G119" s="6">
        <v>200</v>
      </c>
      <c r="H119" s="7">
        <v>71000</v>
      </c>
      <c r="I119" s="7">
        <f t="shared" si="3"/>
        <v>14200000</v>
      </c>
      <c r="J119" s="6">
        <f t="shared" ca="1" si="5"/>
        <v>83</v>
      </c>
      <c r="K119" s="4" t="str">
        <f t="shared" ca="1" si="4"/>
        <v>WARNING</v>
      </c>
    </row>
    <row r="120" spans="1:11" x14ac:dyDescent="0.25">
      <c r="A120" s="8" t="s">
        <v>144</v>
      </c>
      <c r="B120" s="8" t="s">
        <v>25</v>
      </c>
      <c r="C120" s="9" t="s">
        <v>26</v>
      </c>
      <c r="D120" s="8" t="s">
        <v>27</v>
      </c>
      <c r="E120" s="19">
        <v>46102</v>
      </c>
      <c r="F120" s="19">
        <v>46464</v>
      </c>
      <c r="G120" s="10">
        <v>250</v>
      </c>
      <c r="H120" s="11">
        <v>65000</v>
      </c>
      <c r="I120" s="11">
        <f t="shared" si="3"/>
        <v>16250000</v>
      </c>
      <c r="J120" s="6">
        <f t="shared" ca="1" si="5"/>
        <v>142</v>
      </c>
      <c r="K120" s="8" t="str">
        <f t="shared" ca="1" si="4"/>
        <v>WARNING</v>
      </c>
    </row>
    <row r="121" spans="1:11" x14ac:dyDescent="0.25">
      <c r="A121" s="4" t="s">
        <v>145</v>
      </c>
      <c r="B121" s="4" t="s">
        <v>8</v>
      </c>
      <c r="C121" s="5" t="s">
        <v>9</v>
      </c>
      <c r="D121" s="4" t="s">
        <v>10</v>
      </c>
      <c r="E121" s="18">
        <v>46057</v>
      </c>
      <c r="F121" s="18">
        <v>46425</v>
      </c>
      <c r="G121" s="6">
        <v>750</v>
      </c>
      <c r="H121" s="7">
        <v>37000</v>
      </c>
      <c r="I121" s="7">
        <f t="shared" si="3"/>
        <v>27750000</v>
      </c>
      <c r="J121" s="6">
        <f t="shared" ca="1" si="5"/>
        <v>103</v>
      </c>
      <c r="K121" s="4" t="str">
        <f t="shared" ca="1" si="4"/>
        <v>WARNING</v>
      </c>
    </row>
    <row r="122" spans="1:11" x14ac:dyDescent="0.25">
      <c r="A122" s="8" t="s">
        <v>146</v>
      </c>
      <c r="B122" s="8" t="s">
        <v>4</v>
      </c>
      <c r="C122" s="9" t="s">
        <v>5</v>
      </c>
      <c r="D122" s="8" t="s">
        <v>6</v>
      </c>
      <c r="E122" s="19">
        <v>45914</v>
      </c>
      <c r="F122" s="19">
        <v>46443</v>
      </c>
      <c r="G122" s="10">
        <v>500</v>
      </c>
      <c r="H122" s="11">
        <v>84000</v>
      </c>
      <c r="I122" s="11">
        <f t="shared" si="3"/>
        <v>42000000</v>
      </c>
      <c r="J122" s="6">
        <f t="shared" ca="1" si="5"/>
        <v>121</v>
      </c>
      <c r="K122" s="8" t="str">
        <f t="shared" ca="1" si="4"/>
        <v>WARNING</v>
      </c>
    </row>
    <row r="123" spans="1:11" x14ac:dyDescent="0.25">
      <c r="A123" s="4" t="s">
        <v>147</v>
      </c>
      <c r="B123" s="4" t="s">
        <v>29</v>
      </c>
      <c r="C123" s="5" t="s">
        <v>30</v>
      </c>
      <c r="D123" s="4" t="s">
        <v>10</v>
      </c>
      <c r="E123" s="18">
        <v>46081</v>
      </c>
      <c r="F123" s="18">
        <v>46634</v>
      </c>
      <c r="G123" s="6">
        <v>100</v>
      </c>
      <c r="H123" s="7">
        <v>30000</v>
      </c>
      <c r="I123" s="7">
        <f t="shared" si="3"/>
        <v>3000000</v>
      </c>
      <c r="J123" s="6">
        <f t="shared" ca="1" si="5"/>
        <v>312</v>
      </c>
      <c r="K123" s="4" t="str">
        <f t="shared" ca="1" si="4"/>
        <v>SAFE</v>
      </c>
    </row>
    <row r="124" spans="1:11" x14ac:dyDescent="0.25">
      <c r="A124" s="8" t="s">
        <v>148</v>
      </c>
      <c r="B124" s="8" t="s">
        <v>16</v>
      </c>
      <c r="C124" s="9" t="s">
        <v>17</v>
      </c>
      <c r="D124" s="8" t="s">
        <v>6</v>
      </c>
      <c r="E124" s="19">
        <v>46013</v>
      </c>
      <c r="F124" s="19">
        <v>46553</v>
      </c>
      <c r="G124" s="10">
        <v>200</v>
      </c>
      <c r="H124" s="11">
        <v>62000</v>
      </c>
      <c r="I124" s="11">
        <f t="shared" si="3"/>
        <v>12400000</v>
      </c>
      <c r="J124" s="6">
        <f t="shared" ca="1" si="5"/>
        <v>231</v>
      </c>
      <c r="K124" s="8" t="str">
        <f t="shared" ca="1" si="4"/>
        <v>SAFE</v>
      </c>
    </row>
    <row r="125" spans="1:11" x14ac:dyDescent="0.25">
      <c r="A125" s="4" t="s">
        <v>149</v>
      </c>
      <c r="B125" s="4" t="s">
        <v>45</v>
      </c>
      <c r="C125" s="5" t="s">
        <v>46</v>
      </c>
      <c r="D125" s="4" t="s">
        <v>14</v>
      </c>
      <c r="E125" s="18">
        <v>45959</v>
      </c>
      <c r="F125" s="18">
        <v>46469</v>
      </c>
      <c r="G125" s="6">
        <v>200</v>
      </c>
      <c r="H125" s="7">
        <v>92000</v>
      </c>
      <c r="I125" s="7">
        <f t="shared" si="3"/>
        <v>18400000</v>
      </c>
      <c r="J125" s="6">
        <f t="shared" ca="1" si="5"/>
        <v>147</v>
      </c>
      <c r="K125" s="4" t="str">
        <f t="shared" ca="1" si="4"/>
        <v>WARNING</v>
      </c>
    </row>
    <row r="126" spans="1:11" x14ac:dyDescent="0.25">
      <c r="A126" s="8" t="s">
        <v>150</v>
      </c>
      <c r="B126" s="8" t="s">
        <v>53</v>
      </c>
      <c r="C126" s="9" t="s">
        <v>54</v>
      </c>
      <c r="D126" s="8" t="s">
        <v>35</v>
      </c>
      <c r="E126" s="19">
        <v>45992</v>
      </c>
      <c r="F126" s="19">
        <v>46980</v>
      </c>
      <c r="G126" s="10">
        <v>300</v>
      </c>
      <c r="H126" s="11">
        <v>49000</v>
      </c>
      <c r="I126" s="11">
        <f t="shared" si="3"/>
        <v>14700000</v>
      </c>
      <c r="J126" s="6">
        <f t="shared" ca="1" si="5"/>
        <v>658</v>
      </c>
      <c r="K126" s="8" t="str">
        <f t="shared" ca="1" si="4"/>
        <v>SAFE</v>
      </c>
    </row>
    <row r="127" spans="1:11" x14ac:dyDescent="0.25">
      <c r="A127" s="4" t="s">
        <v>151</v>
      </c>
      <c r="B127" s="4" t="s">
        <v>33</v>
      </c>
      <c r="C127" s="5" t="s">
        <v>34</v>
      </c>
      <c r="D127" s="4" t="s">
        <v>35</v>
      </c>
      <c r="E127" s="18">
        <v>45859</v>
      </c>
      <c r="F127" s="18">
        <v>46668</v>
      </c>
      <c r="G127" s="6">
        <v>250</v>
      </c>
      <c r="H127" s="7">
        <v>61000</v>
      </c>
      <c r="I127" s="7">
        <f t="shared" si="3"/>
        <v>15250000</v>
      </c>
      <c r="J127" s="6">
        <f t="shared" ca="1" si="5"/>
        <v>346</v>
      </c>
      <c r="K127" s="4" t="str">
        <f t="shared" ca="1" si="4"/>
        <v>SAFE</v>
      </c>
    </row>
    <row r="128" spans="1:11" x14ac:dyDescent="0.25">
      <c r="A128" s="8" t="s">
        <v>152</v>
      </c>
      <c r="B128" s="8" t="s">
        <v>12</v>
      </c>
      <c r="C128" s="9" t="s">
        <v>13</v>
      </c>
      <c r="D128" s="8" t="s">
        <v>14</v>
      </c>
      <c r="E128" s="19">
        <v>45809</v>
      </c>
      <c r="F128" s="19">
        <v>46530</v>
      </c>
      <c r="G128" s="10">
        <v>200</v>
      </c>
      <c r="H128" s="11">
        <v>29000</v>
      </c>
      <c r="I128" s="11">
        <f t="shared" si="3"/>
        <v>5800000</v>
      </c>
      <c r="J128" s="6">
        <f t="shared" ca="1" si="5"/>
        <v>208</v>
      </c>
      <c r="K128" s="8" t="str">
        <f t="shared" ca="1" si="4"/>
        <v>SAFE</v>
      </c>
    </row>
    <row r="129" spans="1:11" x14ac:dyDescent="0.25">
      <c r="A129" s="4" t="s">
        <v>153</v>
      </c>
      <c r="B129" s="4" t="s">
        <v>19</v>
      </c>
      <c r="C129" s="5" t="s">
        <v>20</v>
      </c>
      <c r="D129" s="4" t="s">
        <v>21</v>
      </c>
      <c r="E129" s="18">
        <v>45886</v>
      </c>
      <c r="F129" s="18">
        <v>46532</v>
      </c>
      <c r="G129" s="6">
        <v>100</v>
      </c>
      <c r="H129" s="7">
        <v>45000</v>
      </c>
      <c r="I129" s="7">
        <f t="shared" si="3"/>
        <v>4500000</v>
      </c>
      <c r="J129" s="6">
        <f t="shared" ca="1" si="5"/>
        <v>210</v>
      </c>
      <c r="K129" s="4" t="str">
        <f t="shared" ca="1" si="4"/>
        <v>SAFE</v>
      </c>
    </row>
    <row r="130" spans="1:11" x14ac:dyDescent="0.25">
      <c r="A130" s="8" t="s">
        <v>154</v>
      </c>
      <c r="B130" s="8" t="s">
        <v>45</v>
      </c>
      <c r="C130" s="9" t="s">
        <v>46</v>
      </c>
      <c r="D130" s="8" t="s">
        <v>14</v>
      </c>
      <c r="E130" s="19">
        <v>46022</v>
      </c>
      <c r="F130" s="19">
        <v>46551</v>
      </c>
      <c r="G130" s="10">
        <v>200</v>
      </c>
      <c r="H130" s="11">
        <v>97000</v>
      </c>
      <c r="I130" s="11">
        <f t="shared" si="3"/>
        <v>19400000</v>
      </c>
      <c r="J130" s="6">
        <f t="shared" ca="1" si="5"/>
        <v>229</v>
      </c>
      <c r="K130" s="8" t="str">
        <f t="shared" ca="1" si="4"/>
        <v>SAFE</v>
      </c>
    </row>
    <row r="131" spans="1:11" x14ac:dyDescent="0.25">
      <c r="A131" s="4" t="s">
        <v>155</v>
      </c>
      <c r="B131" s="4" t="s">
        <v>19</v>
      </c>
      <c r="C131" s="5" t="s">
        <v>20</v>
      </c>
      <c r="D131" s="4" t="s">
        <v>21</v>
      </c>
      <c r="E131" s="18">
        <v>45834</v>
      </c>
      <c r="F131" s="18">
        <v>46366</v>
      </c>
      <c r="G131" s="6">
        <v>500</v>
      </c>
      <c r="H131" s="7">
        <v>49000</v>
      </c>
      <c r="I131" s="7">
        <f t="shared" si="3"/>
        <v>24500000</v>
      </c>
      <c r="J131" s="6">
        <f t="shared" ca="1" si="5"/>
        <v>44</v>
      </c>
      <c r="K131" s="4" t="str">
        <f t="shared" ca="1" si="4"/>
        <v>CRITICAL</v>
      </c>
    </row>
    <row r="132" spans="1:11" x14ac:dyDescent="0.25">
      <c r="A132" s="8" t="s">
        <v>156</v>
      </c>
      <c r="B132" s="8" t="s">
        <v>53</v>
      </c>
      <c r="C132" s="9" t="s">
        <v>54</v>
      </c>
      <c r="D132" s="8" t="s">
        <v>35</v>
      </c>
      <c r="E132" s="19">
        <v>46015</v>
      </c>
      <c r="F132" s="19">
        <v>46383</v>
      </c>
      <c r="G132" s="10">
        <v>250</v>
      </c>
      <c r="H132" s="11">
        <v>57000</v>
      </c>
      <c r="I132" s="11">
        <f t="shared" si="3"/>
        <v>14250000</v>
      </c>
      <c r="J132" s="6">
        <f t="shared" ca="1" si="5"/>
        <v>61</v>
      </c>
      <c r="K132" s="8" t="str">
        <f t="shared" ca="1" si="4"/>
        <v>WARNING</v>
      </c>
    </row>
    <row r="133" spans="1:11" x14ac:dyDescent="0.25">
      <c r="A133" s="4" t="s">
        <v>157</v>
      </c>
      <c r="B133" s="4" t="s">
        <v>4</v>
      </c>
      <c r="C133" s="5" t="s">
        <v>5</v>
      </c>
      <c r="D133" s="4" t="s">
        <v>6</v>
      </c>
      <c r="E133" s="18">
        <v>45886</v>
      </c>
      <c r="F133" s="18">
        <v>46518</v>
      </c>
      <c r="G133" s="6">
        <v>100</v>
      </c>
      <c r="H133" s="7">
        <v>85000</v>
      </c>
      <c r="I133" s="7">
        <f t="shared" ref="I133:I196" si="6">G133*H133</f>
        <v>8500000</v>
      </c>
      <c r="J133" s="6">
        <f t="shared" ca="1" si="5"/>
        <v>196</v>
      </c>
      <c r="K133" s="4" t="str">
        <f t="shared" ref="K133:K196" ca="1" si="7">IF(J133&lt;0, "EXPIRED", IF(J133&lt;=60, "CRITICAL", IF(J133&lt;=180, "WARNING", "SAFE")))</f>
        <v>SAFE</v>
      </c>
    </row>
    <row r="134" spans="1:11" x14ac:dyDescent="0.25">
      <c r="A134" s="8" t="s">
        <v>158</v>
      </c>
      <c r="B134" s="8" t="s">
        <v>29</v>
      </c>
      <c r="C134" s="9" t="s">
        <v>30</v>
      </c>
      <c r="D134" s="8" t="s">
        <v>10</v>
      </c>
      <c r="E134" s="19">
        <v>45815</v>
      </c>
      <c r="F134" s="19">
        <v>46913</v>
      </c>
      <c r="G134" s="10">
        <v>300</v>
      </c>
      <c r="H134" s="11">
        <v>28000</v>
      </c>
      <c r="I134" s="11">
        <f t="shared" si="6"/>
        <v>8400000</v>
      </c>
      <c r="J134" s="6">
        <f t="shared" ref="J134:J197" ca="1" si="8">F134-TODAY()</f>
        <v>591</v>
      </c>
      <c r="K134" s="8" t="str">
        <f t="shared" ca="1" si="7"/>
        <v>SAFE</v>
      </c>
    </row>
    <row r="135" spans="1:11" x14ac:dyDescent="0.25">
      <c r="A135" s="4" t="s">
        <v>159</v>
      </c>
      <c r="B135" s="4" t="s">
        <v>25</v>
      </c>
      <c r="C135" s="5" t="s">
        <v>26</v>
      </c>
      <c r="D135" s="4" t="s">
        <v>27</v>
      </c>
      <c r="E135" s="18">
        <v>46102</v>
      </c>
      <c r="F135" s="18">
        <v>46461</v>
      </c>
      <c r="G135" s="6">
        <v>200</v>
      </c>
      <c r="H135" s="7">
        <v>61000</v>
      </c>
      <c r="I135" s="7">
        <f t="shared" si="6"/>
        <v>12200000</v>
      </c>
      <c r="J135" s="6">
        <f t="shared" ca="1" si="8"/>
        <v>139</v>
      </c>
      <c r="K135" s="4" t="str">
        <f t="shared" ca="1" si="7"/>
        <v>WARNING</v>
      </c>
    </row>
    <row r="136" spans="1:11" x14ac:dyDescent="0.25">
      <c r="A136" s="8" t="s">
        <v>160</v>
      </c>
      <c r="B136" s="8" t="s">
        <v>16</v>
      </c>
      <c r="C136" s="9" t="s">
        <v>17</v>
      </c>
      <c r="D136" s="8" t="s">
        <v>6</v>
      </c>
      <c r="E136" s="19">
        <v>45836</v>
      </c>
      <c r="F136" s="19">
        <v>46665</v>
      </c>
      <c r="G136" s="10">
        <v>500</v>
      </c>
      <c r="H136" s="11">
        <v>65000</v>
      </c>
      <c r="I136" s="11">
        <f t="shared" si="6"/>
        <v>32500000</v>
      </c>
      <c r="J136" s="6">
        <f t="shared" ca="1" si="8"/>
        <v>343</v>
      </c>
      <c r="K136" s="8" t="str">
        <f t="shared" ca="1" si="7"/>
        <v>SAFE</v>
      </c>
    </row>
    <row r="137" spans="1:11" x14ac:dyDescent="0.25">
      <c r="A137" s="4" t="s">
        <v>161</v>
      </c>
      <c r="B137" s="4" t="s">
        <v>33</v>
      </c>
      <c r="C137" s="5" t="s">
        <v>34</v>
      </c>
      <c r="D137" s="4" t="s">
        <v>35</v>
      </c>
      <c r="E137" s="18">
        <v>45934</v>
      </c>
      <c r="F137" s="18">
        <v>46450</v>
      </c>
      <c r="G137" s="6">
        <v>250</v>
      </c>
      <c r="H137" s="7">
        <v>60000</v>
      </c>
      <c r="I137" s="7">
        <f t="shared" si="6"/>
        <v>15000000</v>
      </c>
      <c r="J137" s="6">
        <f t="shared" ca="1" si="8"/>
        <v>128</v>
      </c>
      <c r="K137" s="4" t="str">
        <f t="shared" ca="1" si="7"/>
        <v>WARNING</v>
      </c>
    </row>
    <row r="138" spans="1:11" x14ac:dyDescent="0.25">
      <c r="A138" s="8" t="s">
        <v>162</v>
      </c>
      <c r="B138" s="8" t="s">
        <v>53</v>
      </c>
      <c r="C138" s="9" t="s">
        <v>54</v>
      </c>
      <c r="D138" s="8" t="s">
        <v>35</v>
      </c>
      <c r="E138" s="19">
        <v>45875</v>
      </c>
      <c r="F138" s="19">
        <v>46602</v>
      </c>
      <c r="G138" s="10">
        <v>100</v>
      </c>
      <c r="H138" s="11">
        <v>53000</v>
      </c>
      <c r="I138" s="11">
        <f t="shared" si="6"/>
        <v>5300000</v>
      </c>
      <c r="J138" s="6">
        <f t="shared" ca="1" si="8"/>
        <v>280</v>
      </c>
      <c r="K138" s="8" t="str">
        <f t="shared" ca="1" si="7"/>
        <v>SAFE</v>
      </c>
    </row>
    <row r="139" spans="1:11" x14ac:dyDescent="0.25">
      <c r="A139" s="4" t="s">
        <v>163</v>
      </c>
      <c r="B139" s="4" t="s">
        <v>25</v>
      </c>
      <c r="C139" s="5" t="s">
        <v>26</v>
      </c>
      <c r="D139" s="4" t="s">
        <v>27</v>
      </c>
      <c r="E139" s="18">
        <v>45919</v>
      </c>
      <c r="F139" s="18">
        <v>46645</v>
      </c>
      <c r="G139" s="6">
        <v>300</v>
      </c>
      <c r="H139" s="7">
        <v>64000</v>
      </c>
      <c r="I139" s="7">
        <f t="shared" si="6"/>
        <v>19200000</v>
      </c>
      <c r="J139" s="6">
        <f t="shared" ca="1" si="8"/>
        <v>323</v>
      </c>
      <c r="K139" s="4" t="str">
        <f t="shared" ca="1" si="7"/>
        <v>SAFE</v>
      </c>
    </row>
    <row r="140" spans="1:11" x14ac:dyDescent="0.25">
      <c r="A140" s="8" t="s">
        <v>164</v>
      </c>
      <c r="B140" s="8" t="s">
        <v>45</v>
      </c>
      <c r="C140" s="9" t="s">
        <v>46</v>
      </c>
      <c r="D140" s="8" t="s">
        <v>14</v>
      </c>
      <c r="E140" s="19">
        <v>45909</v>
      </c>
      <c r="F140" s="19">
        <v>46554</v>
      </c>
      <c r="G140" s="10">
        <v>300</v>
      </c>
      <c r="H140" s="11">
        <v>95000</v>
      </c>
      <c r="I140" s="11">
        <f t="shared" si="6"/>
        <v>28500000</v>
      </c>
      <c r="J140" s="6">
        <f t="shared" ca="1" si="8"/>
        <v>232</v>
      </c>
      <c r="K140" s="8" t="str">
        <f t="shared" ca="1" si="7"/>
        <v>SAFE</v>
      </c>
    </row>
    <row r="141" spans="1:11" x14ac:dyDescent="0.25">
      <c r="A141" s="4" t="s">
        <v>165</v>
      </c>
      <c r="B141" s="4" t="s">
        <v>29</v>
      </c>
      <c r="C141" s="5" t="s">
        <v>30</v>
      </c>
      <c r="D141" s="4" t="s">
        <v>10</v>
      </c>
      <c r="E141" s="18">
        <v>46037</v>
      </c>
      <c r="F141" s="18">
        <v>46762</v>
      </c>
      <c r="G141" s="6">
        <v>200</v>
      </c>
      <c r="H141" s="7">
        <v>30000</v>
      </c>
      <c r="I141" s="7">
        <f t="shared" si="6"/>
        <v>6000000</v>
      </c>
      <c r="J141" s="6">
        <f t="shared" ca="1" si="8"/>
        <v>440</v>
      </c>
      <c r="K141" s="4" t="str">
        <f t="shared" ca="1" si="7"/>
        <v>SAFE</v>
      </c>
    </row>
    <row r="142" spans="1:11" x14ac:dyDescent="0.25">
      <c r="A142" s="8" t="s">
        <v>166</v>
      </c>
      <c r="B142" s="8" t="s">
        <v>12</v>
      </c>
      <c r="C142" s="9" t="s">
        <v>13</v>
      </c>
      <c r="D142" s="8" t="s">
        <v>14</v>
      </c>
      <c r="E142" s="19">
        <v>45920</v>
      </c>
      <c r="F142" s="19">
        <v>46460</v>
      </c>
      <c r="G142" s="10">
        <v>100</v>
      </c>
      <c r="H142" s="11">
        <v>33000</v>
      </c>
      <c r="I142" s="11">
        <f t="shared" si="6"/>
        <v>3300000</v>
      </c>
      <c r="J142" s="6">
        <f t="shared" ca="1" si="8"/>
        <v>138</v>
      </c>
      <c r="K142" s="8" t="str">
        <f t="shared" ca="1" si="7"/>
        <v>WARNING</v>
      </c>
    </row>
    <row r="143" spans="1:11" x14ac:dyDescent="0.25">
      <c r="A143" s="4" t="s">
        <v>167</v>
      </c>
      <c r="B143" s="4" t="s">
        <v>29</v>
      </c>
      <c r="C143" s="5" t="s">
        <v>30</v>
      </c>
      <c r="D143" s="4" t="s">
        <v>10</v>
      </c>
      <c r="E143" s="18">
        <v>45945</v>
      </c>
      <c r="F143" s="18">
        <v>46463</v>
      </c>
      <c r="G143" s="6">
        <v>100</v>
      </c>
      <c r="H143" s="7">
        <v>29000</v>
      </c>
      <c r="I143" s="7">
        <f t="shared" si="6"/>
        <v>2900000</v>
      </c>
      <c r="J143" s="6">
        <f t="shared" ca="1" si="8"/>
        <v>141</v>
      </c>
      <c r="K143" s="4" t="str">
        <f t="shared" ca="1" si="7"/>
        <v>WARNING</v>
      </c>
    </row>
    <row r="144" spans="1:11" x14ac:dyDescent="0.25">
      <c r="A144" s="8" t="s">
        <v>168</v>
      </c>
      <c r="B144" s="8" t="s">
        <v>53</v>
      </c>
      <c r="C144" s="9" t="s">
        <v>54</v>
      </c>
      <c r="D144" s="8" t="s">
        <v>35</v>
      </c>
      <c r="E144" s="19">
        <v>46031</v>
      </c>
      <c r="F144" s="19">
        <v>46575</v>
      </c>
      <c r="G144" s="10">
        <v>1000</v>
      </c>
      <c r="H144" s="11">
        <v>51000</v>
      </c>
      <c r="I144" s="11">
        <f t="shared" si="6"/>
        <v>51000000</v>
      </c>
      <c r="J144" s="6">
        <f t="shared" ca="1" si="8"/>
        <v>253</v>
      </c>
      <c r="K144" s="8" t="str">
        <f t="shared" ca="1" si="7"/>
        <v>SAFE</v>
      </c>
    </row>
    <row r="145" spans="1:11" x14ac:dyDescent="0.25">
      <c r="A145" s="4" t="s">
        <v>169</v>
      </c>
      <c r="B145" s="4" t="s">
        <v>12</v>
      </c>
      <c r="C145" s="5" t="s">
        <v>13</v>
      </c>
      <c r="D145" s="4" t="s">
        <v>14</v>
      </c>
      <c r="E145" s="18">
        <v>45926</v>
      </c>
      <c r="F145" s="18">
        <v>46479</v>
      </c>
      <c r="G145" s="6">
        <v>500</v>
      </c>
      <c r="H145" s="7">
        <v>33000</v>
      </c>
      <c r="I145" s="7">
        <f t="shared" si="6"/>
        <v>16500000</v>
      </c>
      <c r="J145" s="6">
        <f t="shared" ca="1" si="8"/>
        <v>157</v>
      </c>
      <c r="K145" s="4" t="str">
        <f t="shared" ca="1" si="7"/>
        <v>WARNING</v>
      </c>
    </row>
    <row r="146" spans="1:11" x14ac:dyDescent="0.25">
      <c r="A146" s="8" t="s">
        <v>170</v>
      </c>
      <c r="B146" s="8" t="s">
        <v>45</v>
      </c>
      <c r="C146" s="9" t="s">
        <v>46</v>
      </c>
      <c r="D146" s="8" t="s">
        <v>14</v>
      </c>
      <c r="E146" s="19">
        <v>46002</v>
      </c>
      <c r="F146" s="19">
        <v>46354</v>
      </c>
      <c r="G146" s="10">
        <v>250</v>
      </c>
      <c r="H146" s="11">
        <v>97000</v>
      </c>
      <c r="I146" s="11">
        <f t="shared" si="6"/>
        <v>24250000</v>
      </c>
      <c r="J146" s="6">
        <f t="shared" ca="1" si="8"/>
        <v>32</v>
      </c>
      <c r="K146" s="8" t="str">
        <f t="shared" ca="1" si="7"/>
        <v>CRITICAL</v>
      </c>
    </row>
    <row r="147" spans="1:11" x14ac:dyDescent="0.25">
      <c r="A147" s="4" t="s">
        <v>171</v>
      </c>
      <c r="B147" s="4" t="s">
        <v>16</v>
      </c>
      <c r="C147" s="5" t="s">
        <v>17</v>
      </c>
      <c r="D147" s="4" t="s">
        <v>6</v>
      </c>
      <c r="E147" s="18">
        <v>45926</v>
      </c>
      <c r="F147" s="18">
        <v>46655</v>
      </c>
      <c r="G147" s="6">
        <v>300</v>
      </c>
      <c r="H147" s="7">
        <v>60000</v>
      </c>
      <c r="I147" s="7">
        <f t="shared" si="6"/>
        <v>18000000</v>
      </c>
      <c r="J147" s="6">
        <f t="shared" ca="1" si="8"/>
        <v>333</v>
      </c>
      <c r="K147" s="4" t="str">
        <f t="shared" ca="1" si="7"/>
        <v>SAFE</v>
      </c>
    </row>
    <row r="148" spans="1:11" x14ac:dyDescent="0.25">
      <c r="A148" s="8" t="s">
        <v>172</v>
      </c>
      <c r="B148" s="8" t="s">
        <v>19</v>
      </c>
      <c r="C148" s="9" t="s">
        <v>20</v>
      </c>
      <c r="D148" s="8" t="s">
        <v>21</v>
      </c>
      <c r="E148" s="19">
        <v>45898</v>
      </c>
      <c r="F148" s="19">
        <v>46428</v>
      </c>
      <c r="G148" s="10">
        <v>300</v>
      </c>
      <c r="H148" s="11">
        <v>47000</v>
      </c>
      <c r="I148" s="11">
        <f t="shared" si="6"/>
        <v>14100000</v>
      </c>
      <c r="J148" s="6">
        <f t="shared" ca="1" si="8"/>
        <v>106</v>
      </c>
      <c r="K148" s="8" t="str">
        <f t="shared" ca="1" si="7"/>
        <v>WARNING</v>
      </c>
    </row>
    <row r="149" spans="1:11" x14ac:dyDescent="0.25">
      <c r="A149" s="4" t="s">
        <v>173</v>
      </c>
      <c r="B149" s="4" t="s">
        <v>53</v>
      </c>
      <c r="C149" s="5" t="s">
        <v>54</v>
      </c>
      <c r="D149" s="4" t="s">
        <v>35</v>
      </c>
      <c r="E149" s="18">
        <v>46067</v>
      </c>
      <c r="F149" s="18">
        <v>46584</v>
      </c>
      <c r="G149" s="6">
        <v>250</v>
      </c>
      <c r="H149" s="7">
        <v>52000</v>
      </c>
      <c r="I149" s="7">
        <f t="shared" si="6"/>
        <v>13000000</v>
      </c>
      <c r="J149" s="6">
        <f t="shared" ca="1" si="8"/>
        <v>262</v>
      </c>
      <c r="K149" s="4" t="str">
        <f t="shared" ca="1" si="7"/>
        <v>SAFE</v>
      </c>
    </row>
    <row r="150" spans="1:11" x14ac:dyDescent="0.25">
      <c r="A150" s="8" t="s">
        <v>174</v>
      </c>
      <c r="B150" s="8" t="s">
        <v>4</v>
      </c>
      <c r="C150" s="9" t="s">
        <v>5</v>
      </c>
      <c r="D150" s="8" t="s">
        <v>6</v>
      </c>
      <c r="E150" s="19">
        <v>45946</v>
      </c>
      <c r="F150" s="19">
        <v>46663</v>
      </c>
      <c r="G150" s="10">
        <v>300</v>
      </c>
      <c r="H150" s="11">
        <v>78000</v>
      </c>
      <c r="I150" s="11">
        <f t="shared" si="6"/>
        <v>23400000</v>
      </c>
      <c r="J150" s="6">
        <f t="shared" ca="1" si="8"/>
        <v>341</v>
      </c>
      <c r="K150" s="8" t="str">
        <f t="shared" ca="1" si="7"/>
        <v>SAFE</v>
      </c>
    </row>
    <row r="151" spans="1:11" x14ac:dyDescent="0.25">
      <c r="A151" s="4" t="s">
        <v>175</v>
      </c>
      <c r="B151" s="4" t="s">
        <v>19</v>
      </c>
      <c r="C151" s="5" t="s">
        <v>20</v>
      </c>
      <c r="D151" s="4" t="s">
        <v>21</v>
      </c>
      <c r="E151" s="18">
        <v>45909</v>
      </c>
      <c r="F151" s="18">
        <v>46357</v>
      </c>
      <c r="G151" s="6">
        <v>300</v>
      </c>
      <c r="H151" s="7">
        <v>52000</v>
      </c>
      <c r="I151" s="7">
        <f t="shared" si="6"/>
        <v>15600000</v>
      </c>
      <c r="J151" s="6">
        <f t="shared" ca="1" si="8"/>
        <v>35</v>
      </c>
      <c r="K151" s="4" t="str">
        <f t="shared" ca="1" si="7"/>
        <v>CRITICAL</v>
      </c>
    </row>
    <row r="152" spans="1:11" x14ac:dyDescent="0.25">
      <c r="A152" s="8" t="s">
        <v>176</v>
      </c>
      <c r="B152" s="8" t="s">
        <v>12</v>
      </c>
      <c r="C152" s="9" t="s">
        <v>13</v>
      </c>
      <c r="D152" s="8" t="s">
        <v>14</v>
      </c>
      <c r="E152" s="19">
        <v>45902</v>
      </c>
      <c r="F152" s="19">
        <v>46406</v>
      </c>
      <c r="G152" s="10">
        <v>500</v>
      </c>
      <c r="H152" s="11">
        <v>31000</v>
      </c>
      <c r="I152" s="11">
        <f t="shared" si="6"/>
        <v>15500000</v>
      </c>
      <c r="J152" s="6">
        <f t="shared" ca="1" si="8"/>
        <v>84</v>
      </c>
      <c r="K152" s="8" t="str">
        <f t="shared" ca="1" si="7"/>
        <v>WARNING</v>
      </c>
    </row>
    <row r="153" spans="1:11" x14ac:dyDescent="0.25">
      <c r="A153" s="4" t="s">
        <v>177</v>
      </c>
      <c r="B153" s="4" t="s">
        <v>25</v>
      </c>
      <c r="C153" s="5" t="s">
        <v>26</v>
      </c>
      <c r="D153" s="4" t="s">
        <v>27</v>
      </c>
      <c r="E153" s="18">
        <v>45945</v>
      </c>
      <c r="F153" s="18">
        <v>46477</v>
      </c>
      <c r="G153" s="6">
        <v>100</v>
      </c>
      <c r="H153" s="7">
        <v>62000</v>
      </c>
      <c r="I153" s="7">
        <f t="shared" si="6"/>
        <v>6200000</v>
      </c>
      <c r="J153" s="6">
        <f t="shared" ca="1" si="8"/>
        <v>155</v>
      </c>
      <c r="K153" s="4" t="str">
        <f t="shared" ca="1" si="7"/>
        <v>WARNING</v>
      </c>
    </row>
    <row r="154" spans="1:11" x14ac:dyDescent="0.25">
      <c r="A154" s="8" t="s">
        <v>178</v>
      </c>
      <c r="B154" s="8" t="s">
        <v>12</v>
      </c>
      <c r="C154" s="9" t="s">
        <v>13</v>
      </c>
      <c r="D154" s="8" t="s">
        <v>14</v>
      </c>
      <c r="E154" s="19">
        <v>45868</v>
      </c>
      <c r="F154" s="19">
        <v>46400</v>
      </c>
      <c r="G154" s="10">
        <v>500</v>
      </c>
      <c r="H154" s="11">
        <v>32000</v>
      </c>
      <c r="I154" s="11">
        <f t="shared" si="6"/>
        <v>16000000</v>
      </c>
      <c r="J154" s="6">
        <f t="shared" ca="1" si="8"/>
        <v>78</v>
      </c>
      <c r="K154" s="8" t="str">
        <f t="shared" ca="1" si="7"/>
        <v>WARNING</v>
      </c>
    </row>
    <row r="155" spans="1:11" x14ac:dyDescent="0.25">
      <c r="A155" s="4" t="s">
        <v>179</v>
      </c>
      <c r="B155" s="4" t="s">
        <v>8</v>
      </c>
      <c r="C155" s="5" t="s">
        <v>9</v>
      </c>
      <c r="D155" s="4" t="s">
        <v>10</v>
      </c>
      <c r="E155" s="18">
        <v>46021</v>
      </c>
      <c r="F155" s="18">
        <v>46569</v>
      </c>
      <c r="G155" s="6">
        <v>300</v>
      </c>
      <c r="H155" s="7">
        <v>33000</v>
      </c>
      <c r="I155" s="7">
        <f t="shared" si="6"/>
        <v>9900000</v>
      </c>
      <c r="J155" s="6">
        <f t="shared" ca="1" si="8"/>
        <v>247</v>
      </c>
      <c r="K155" s="4" t="str">
        <f t="shared" ca="1" si="7"/>
        <v>SAFE</v>
      </c>
    </row>
    <row r="156" spans="1:11" x14ac:dyDescent="0.25">
      <c r="A156" s="8" t="s">
        <v>180</v>
      </c>
      <c r="B156" s="8" t="s">
        <v>53</v>
      </c>
      <c r="C156" s="9" t="s">
        <v>54</v>
      </c>
      <c r="D156" s="8" t="s">
        <v>35</v>
      </c>
      <c r="E156" s="19">
        <v>45897</v>
      </c>
      <c r="F156" s="19">
        <v>46446</v>
      </c>
      <c r="G156" s="10">
        <v>300</v>
      </c>
      <c r="H156" s="11">
        <v>55000</v>
      </c>
      <c r="I156" s="11">
        <f t="shared" si="6"/>
        <v>16500000</v>
      </c>
      <c r="J156" s="6">
        <f t="shared" ca="1" si="8"/>
        <v>124</v>
      </c>
      <c r="K156" s="8" t="str">
        <f t="shared" ca="1" si="7"/>
        <v>WARNING</v>
      </c>
    </row>
    <row r="157" spans="1:11" x14ac:dyDescent="0.25">
      <c r="A157" s="4" t="s">
        <v>181</v>
      </c>
      <c r="B157" s="4" t="s">
        <v>4</v>
      </c>
      <c r="C157" s="5" t="s">
        <v>5</v>
      </c>
      <c r="D157" s="4" t="s">
        <v>6</v>
      </c>
      <c r="E157" s="18">
        <v>45912</v>
      </c>
      <c r="F157" s="18">
        <v>46550</v>
      </c>
      <c r="G157" s="6">
        <v>300</v>
      </c>
      <c r="H157" s="7">
        <v>75000</v>
      </c>
      <c r="I157" s="7">
        <f t="shared" si="6"/>
        <v>22500000</v>
      </c>
      <c r="J157" s="6">
        <f t="shared" ca="1" si="8"/>
        <v>228</v>
      </c>
      <c r="K157" s="4" t="str">
        <f t="shared" ca="1" si="7"/>
        <v>SAFE</v>
      </c>
    </row>
    <row r="158" spans="1:11" x14ac:dyDescent="0.25">
      <c r="A158" s="8" t="s">
        <v>182</v>
      </c>
      <c r="B158" s="8" t="s">
        <v>4</v>
      </c>
      <c r="C158" s="9" t="s">
        <v>5</v>
      </c>
      <c r="D158" s="8" t="s">
        <v>6</v>
      </c>
      <c r="E158" s="19">
        <v>45871</v>
      </c>
      <c r="F158" s="19">
        <v>46971</v>
      </c>
      <c r="G158" s="10">
        <v>250</v>
      </c>
      <c r="H158" s="11">
        <v>81000</v>
      </c>
      <c r="I158" s="11">
        <f t="shared" si="6"/>
        <v>20250000</v>
      </c>
      <c r="J158" s="6">
        <f t="shared" ca="1" si="8"/>
        <v>649</v>
      </c>
      <c r="K158" s="8" t="str">
        <f t="shared" ca="1" si="7"/>
        <v>SAFE</v>
      </c>
    </row>
    <row r="159" spans="1:11" x14ac:dyDescent="0.25">
      <c r="A159" s="4" t="s">
        <v>183</v>
      </c>
      <c r="B159" s="4" t="s">
        <v>25</v>
      </c>
      <c r="C159" s="5" t="s">
        <v>26</v>
      </c>
      <c r="D159" s="4" t="s">
        <v>27</v>
      </c>
      <c r="E159" s="18">
        <v>45912</v>
      </c>
      <c r="F159" s="18">
        <v>46814</v>
      </c>
      <c r="G159" s="6">
        <v>200</v>
      </c>
      <c r="H159" s="7">
        <v>60000</v>
      </c>
      <c r="I159" s="7">
        <f t="shared" si="6"/>
        <v>12000000</v>
      </c>
      <c r="J159" s="6">
        <f t="shared" ca="1" si="8"/>
        <v>492</v>
      </c>
      <c r="K159" s="4" t="str">
        <f t="shared" ca="1" si="7"/>
        <v>SAFE</v>
      </c>
    </row>
    <row r="160" spans="1:11" x14ac:dyDescent="0.25">
      <c r="A160" s="8" t="s">
        <v>184</v>
      </c>
      <c r="B160" s="8" t="s">
        <v>8</v>
      </c>
      <c r="C160" s="9" t="s">
        <v>9</v>
      </c>
      <c r="D160" s="8" t="s">
        <v>10</v>
      </c>
      <c r="E160" s="19">
        <v>45987</v>
      </c>
      <c r="F160" s="19">
        <v>46992</v>
      </c>
      <c r="G160" s="10">
        <v>500</v>
      </c>
      <c r="H160" s="11">
        <v>36000</v>
      </c>
      <c r="I160" s="11">
        <f t="shared" si="6"/>
        <v>18000000</v>
      </c>
      <c r="J160" s="6">
        <f t="shared" ca="1" si="8"/>
        <v>670</v>
      </c>
      <c r="K160" s="8" t="str">
        <f t="shared" ca="1" si="7"/>
        <v>SAFE</v>
      </c>
    </row>
    <row r="161" spans="1:11" x14ac:dyDescent="0.25">
      <c r="A161" s="4" t="s">
        <v>185</v>
      </c>
      <c r="B161" s="4" t="s">
        <v>19</v>
      </c>
      <c r="C161" s="5" t="s">
        <v>20</v>
      </c>
      <c r="D161" s="4" t="s">
        <v>21</v>
      </c>
      <c r="E161" s="18">
        <v>46039</v>
      </c>
      <c r="F161" s="18">
        <v>46412</v>
      </c>
      <c r="G161" s="6">
        <v>200</v>
      </c>
      <c r="H161" s="7">
        <v>45000</v>
      </c>
      <c r="I161" s="7">
        <f t="shared" si="6"/>
        <v>9000000</v>
      </c>
      <c r="J161" s="6">
        <f t="shared" ca="1" si="8"/>
        <v>90</v>
      </c>
      <c r="K161" s="4" t="str">
        <f t="shared" ca="1" si="7"/>
        <v>WARNING</v>
      </c>
    </row>
    <row r="162" spans="1:11" x14ac:dyDescent="0.25">
      <c r="A162" s="8" t="s">
        <v>186</v>
      </c>
      <c r="B162" s="8" t="s">
        <v>16</v>
      </c>
      <c r="C162" s="9" t="s">
        <v>17</v>
      </c>
      <c r="D162" s="8" t="s">
        <v>6</v>
      </c>
      <c r="E162" s="19">
        <v>46097</v>
      </c>
      <c r="F162" s="19">
        <v>46558</v>
      </c>
      <c r="G162" s="10">
        <v>500</v>
      </c>
      <c r="H162" s="11">
        <v>64000</v>
      </c>
      <c r="I162" s="11">
        <f t="shared" si="6"/>
        <v>32000000</v>
      </c>
      <c r="J162" s="6">
        <f t="shared" ca="1" si="8"/>
        <v>236</v>
      </c>
      <c r="K162" s="8" t="str">
        <f t="shared" ca="1" si="7"/>
        <v>SAFE</v>
      </c>
    </row>
    <row r="163" spans="1:11" x14ac:dyDescent="0.25">
      <c r="A163" s="4" t="s">
        <v>187</v>
      </c>
      <c r="B163" s="4" t="s">
        <v>33</v>
      </c>
      <c r="C163" s="5" t="s">
        <v>34</v>
      </c>
      <c r="D163" s="4" t="s">
        <v>35</v>
      </c>
      <c r="E163" s="18">
        <v>45926</v>
      </c>
      <c r="F163" s="18">
        <v>46465</v>
      </c>
      <c r="G163" s="6">
        <v>500</v>
      </c>
      <c r="H163" s="7">
        <v>59000</v>
      </c>
      <c r="I163" s="7">
        <f t="shared" si="6"/>
        <v>29500000</v>
      </c>
      <c r="J163" s="6">
        <f t="shared" ca="1" si="8"/>
        <v>143</v>
      </c>
      <c r="K163" s="4" t="str">
        <f t="shared" ca="1" si="7"/>
        <v>WARNING</v>
      </c>
    </row>
    <row r="164" spans="1:11" x14ac:dyDescent="0.25">
      <c r="A164" s="8" t="s">
        <v>188</v>
      </c>
      <c r="B164" s="8" t="s">
        <v>53</v>
      </c>
      <c r="C164" s="9" t="s">
        <v>54</v>
      </c>
      <c r="D164" s="8" t="s">
        <v>35</v>
      </c>
      <c r="E164" s="19">
        <v>45992</v>
      </c>
      <c r="F164" s="19">
        <v>46344</v>
      </c>
      <c r="G164" s="10">
        <v>200</v>
      </c>
      <c r="H164" s="11">
        <v>51000</v>
      </c>
      <c r="I164" s="11">
        <f t="shared" si="6"/>
        <v>10200000</v>
      </c>
      <c r="J164" s="6">
        <f t="shared" ca="1" si="8"/>
        <v>22</v>
      </c>
      <c r="K164" s="8" t="str">
        <f t="shared" ca="1" si="7"/>
        <v>CRITICAL</v>
      </c>
    </row>
    <row r="165" spans="1:11" x14ac:dyDescent="0.25">
      <c r="A165" s="4" t="s">
        <v>189</v>
      </c>
      <c r="B165" s="4" t="s">
        <v>25</v>
      </c>
      <c r="C165" s="5" t="s">
        <v>26</v>
      </c>
      <c r="D165" s="4" t="s">
        <v>27</v>
      </c>
      <c r="E165" s="18">
        <v>45903</v>
      </c>
      <c r="F165" s="18">
        <v>46982</v>
      </c>
      <c r="G165" s="6">
        <v>300</v>
      </c>
      <c r="H165" s="7">
        <v>65000</v>
      </c>
      <c r="I165" s="7">
        <f t="shared" si="6"/>
        <v>19500000</v>
      </c>
      <c r="J165" s="6">
        <f t="shared" ca="1" si="8"/>
        <v>660</v>
      </c>
      <c r="K165" s="4" t="str">
        <f t="shared" ca="1" si="7"/>
        <v>SAFE</v>
      </c>
    </row>
    <row r="166" spans="1:11" x14ac:dyDescent="0.25">
      <c r="A166" s="8" t="s">
        <v>190</v>
      </c>
      <c r="B166" s="8" t="s">
        <v>16</v>
      </c>
      <c r="C166" s="9" t="s">
        <v>17</v>
      </c>
      <c r="D166" s="8" t="s">
        <v>6</v>
      </c>
      <c r="E166" s="19">
        <v>45956</v>
      </c>
      <c r="F166" s="19">
        <v>46495</v>
      </c>
      <c r="G166" s="10">
        <v>250</v>
      </c>
      <c r="H166" s="11">
        <v>65000</v>
      </c>
      <c r="I166" s="11">
        <f t="shared" si="6"/>
        <v>16250000</v>
      </c>
      <c r="J166" s="6">
        <f t="shared" ca="1" si="8"/>
        <v>173</v>
      </c>
      <c r="K166" s="8" t="str">
        <f t="shared" ca="1" si="7"/>
        <v>WARNING</v>
      </c>
    </row>
    <row r="167" spans="1:11" x14ac:dyDescent="0.25">
      <c r="A167" s="4" t="s">
        <v>191</v>
      </c>
      <c r="B167" s="4" t="s">
        <v>29</v>
      </c>
      <c r="C167" s="5" t="s">
        <v>30</v>
      </c>
      <c r="D167" s="4" t="s">
        <v>10</v>
      </c>
      <c r="E167" s="18">
        <v>45831</v>
      </c>
      <c r="F167" s="18">
        <v>46464</v>
      </c>
      <c r="G167" s="6">
        <v>300</v>
      </c>
      <c r="H167" s="7">
        <v>26000</v>
      </c>
      <c r="I167" s="7">
        <f t="shared" si="6"/>
        <v>7800000</v>
      </c>
      <c r="J167" s="6">
        <f t="shared" ca="1" si="8"/>
        <v>142</v>
      </c>
      <c r="K167" s="4" t="str">
        <f t="shared" ca="1" si="7"/>
        <v>WARNING</v>
      </c>
    </row>
    <row r="168" spans="1:11" x14ac:dyDescent="0.25">
      <c r="A168" s="8" t="s">
        <v>192</v>
      </c>
      <c r="B168" s="8" t="s">
        <v>29</v>
      </c>
      <c r="C168" s="9" t="s">
        <v>30</v>
      </c>
      <c r="D168" s="8" t="s">
        <v>10</v>
      </c>
      <c r="E168" s="19">
        <v>46018</v>
      </c>
      <c r="F168" s="19">
        <v>46377</v>
      </c>
      <c r="G168" s="10">
        <v>500</v>
      </c>
      <c r="H168" s="11">
        <v>27000</v>
      </c>
      <c r="I168" s="11">
        <f t="shared" si="6"/>
        <v>13500000</v>
      </c>
      <c r="J168" s="6">
        <f t="shared" ca="1" si="8"/>
        <v>55</v>
      </c>
      <c r="K168" s="8" t="str">
        <f t="shared" ca="1" si="7"/>
        <v>CRITICAL</v>
      </c>
    </row>
    <row r="169" spans="1:11" x14ac:dyDescent="0.25">
      <c r="A169" s="4" t="s">
        <v>193</v>
      </c>
      <c r="B169" s="4" t="s">
        <v>53</v>
      </c>
      <c r="C169" s="5" t="s">
        <v>54</v>
      </c>
      <c r="D169" s="4" t="s">
        <v>35</v>
      </c>
      <c r="E169" s="18">
        <v>45941</v>
      </c>
      <c r="F169" s="18">
        <v>46653</v>
      </c>
      <c r="G169" s="6">
        <v>300</v>
      </c>
      <c r="H169" s="7">
        <v>48000</v>
      </c>
      <c r="I169" s="7">
        <f t="shared" si="6"/>
        <v>14400000</v>
      </c>
      <c r="J169" s="6">
        <f t="shared" ca="1" si="8"/>
        <v>331</v>
      </c>
      <c r="K169" s="4" t="str">
        <f t="shared" ca="1" si="7"/>
        <v>SAFE</v>
      </c>
    </row>
    <row r="170" spans="1:11" x14ac:dyDescent="0.25">
      <c r="A170" s="8" t="s">
        <v>194</v>
      </c>
      <c r="B170" s="8" t="s">
        <v>33</v>
      </c>
      <c r="C170" s="9" t="s">
        <v>34</v>
      </c>
      <c r="D170" s="8" t="s">
        <v>35</v>
      </c>
      <c r="E170" s="19">
        <v>45859</v>
      </c>
      <c r="F170" s="19">
        <v>46576</v>
      </c>
      <c r="G170" s="10">
        <v>500</v>
      </c>
      <c r="H170" s="11">
        <v>62000</v>
      </c>
      <c r="I170" s="11">
        <f t="shared" si="6"/>
        <v>31000000</v>
      </c>
      <c r="J170" s="6">
        <f t="shared" ca="1" si="8"/>
        <v>254</v>
      </c>
      <c r="K170" s="8" t="str">
        <f t="shared" ca="1" si="7"/>
        <v>SAFE</v>
      </c>
    </row>
    <row r="171" spans="1:11" x14ac:dyDescent="0.25">
      <c r="A171" s="4" t="s">
        <v>195</v>
      </c>
      <c r="B171" s="4" t="s">
        <v>4</v>
      </c>
      <c r="C171" s="5" t="s">
        <v>5</v>
      </c>
      <c r="D171" s="4" t="s">
        <v>6</v>
      </c>
      <c r="E171" s="18">
        <v>46065</v>
      </c>
      <c r="F171" s="18">
        <v>46585</v>
      </c>
      <c r="G171" s="6">
        <v>200</v>
      </c>
      <c r="H171" s="7">
        <v>78000</v>
      </c>
      <c r="I171" s="7">
        <f t="shared" si="6"/>
        <v>15600000</v>
      </c>
      <c r="J171" s="6">
        <f t="shared" ca="1" si="8"/>
        <v>263</v>
      </c>
      <c r="K171" s="4" t="str">
        <f t="shared" ca="1" si="7"/>
        <v>SAFE</v>
      </c>
    </row>
    <row r="172" spans="1:11" x14ac:dyDescent="0.25">
      <c r="A172" s="8" t="s">
        <v>196</v>
      </c>
      <c r="B172" s="8" t="s">
        <v>12</v>
      </c>
      <c r="C172" s="9" t="s">
        <v>13</v>
      </c>
      <c r="D172" s="8" t="s">
        <v>14</v>
      </c>
      <c r="E172" s="19">
        <v>45809</v>
      </c>
      <c r="F172" s="19">
        <v>46356</v>
      </c>
      <c r="G172" s="10">
        <v>200</v>
      </c>
      <c r="H172" s="11">
        <v>34000</v>
      </c>
      <c r="I172" s="11">
        <f t="shared" si="6"/>
        <v>6800000</v>
      </c>
      <c r="J172" s="6">
        <f t="shared" ca="1" si="8"/>
        <v>34</v>
      </c>
      <c r="K172" s="8" t="str">
        <f t="shared" ca="1" si="7"/>
        <v>CRITICAL</v>
      </c>
    </row>
    <row r="173" spans="1:11" x14ac:dyDescent="0.25">
      <c r="A173" s="4" t="s">
        <v>197</v>
      </c>
      <c r="B173" s="4" t="s">
        <v>16</v>
      </c>
      <c r="C173" s="5" t="s">
        <v>17</v>
      </c>
      <c r="D173" s="4" t="s">
        <v>6</v>
      </c>
      <c r="E173" s="18">
        <v>45945</v>
      </c>
      <c r="F173" s="18">
        <v>46499</v>
      </c>
      <c r="G173" s="6">
        <v>100</v>
      </c>
      <c r="H173" s="7">
        <v>68000</v>
      </c>
      <c r="I173" s="7">
        <f t="shared" si="6"/>
        <v>6800000</v>
      </c>
      <c r="J173" s="6">
        <f t="shared" ca="1" si="8"/>
        <v>177</v>
      </c>
      <c r="K173" s="4" t="str">
        <f t="shared" ca="1" si="7"/>
        <v>WARNING</v>
      </c>
    </row>
    <row r="174" spans="1:11" x14ac:dyDescent="0.25">
      <c r="A174" s="8" t="s">
        <v>198</v>
      </c>
      <c r="B174" s="8" t="s">
        <v>8</v>
      </c>
      <c r="C174" s="9" t="s">
        <v>9</v>
      </c>
      <c r="D174" s="8" t="s">
        <v>10</v>
      </c>
      <c r="E174" s="19">
        <v>45871</v>
      </c>
      <c r="F174" s="19">
        <v>46516</v>
      </c>
      <c r="G174" s="10">
        <v>750</v>
      </c>
      <c r="H174" s="11">
        <v>33000</v>
      </c>
      <c r="I174" s="11">
        <f t="shared" si="6"/>
        <v>24750000</v>
      </c>
      <c r="J174" s="6">
        <f t="shared" ca="1" si="8"/>
        <v>194</v>
      </c>
      <c r="K174" s="8" t="str">
        <f t="shared" ca="1" si="7"/>
        <v>SAFE</v>
      </c>
    </row>
    <row r="175" spans="1:11" x14ac:dyDescent="0.25">
      <c r="A175" s="4" t="s">
        <v>199</v>
      </c>
      <c r="B175" s="4" t="s">
        <v>4</v>
      </c>
      <c r="C175" s="5" t="s">
        <v>5</v>
      </c>
      <c r="D175" s="4" t="s">
        <v>6</v>
      </c>
      <c r="E175" s="18">
        <v>46018</v>
      </c>
      <c r="F175" s="18">
        <v>46664</v>
      </c>
      <c r="G175" s="6">
        <v>250</v>
      </c>
      <c r="H175" s="7">
        <v>85000</v>
      </c>
      <c r="I175" s="7">
        <f t="shared" si="6"/>
        <v>21250000</v>
      </c>
      <c r="J175" s="6">
        <f t="shared" ca="1" si="8"/>
        <v>342</v>
      </c>
      <c r="K175" s="4" t="str">
        <f t="shared" ca="1" si="7"/>
        <v>SAFE</v>
      </c>
    </row>
    <row r="176" spans="1:11" x14ac:dyDescent="0.25">
      <c r="A176" s="8" t="s">
        <v>200</v>
      </c>
      <c r="B176" s="8" t="s">
        <v>8</v>
      </c>
      <c r="C176" s="9" t="s">
        <v>9</v>
      </c>
      <c r="D176" s="8" t="s">
        <v>10</v>
      </c>
      <c r="E176" s="19">
        <v>45990</v>
      </c>
      <c r="F176" s="19">
        <v>46526</v>
      </c>
      <c r="G176" s="10">
        <v>200</v>
      </c>
      <c r="H176" s="11">
        <v>36000</v>
      </c>
      <c r="I176" s="11">
        <f t="shared" si="6"/>
        <v>7200000</v>
      </c>
      <c r="J176" s="6">
        <f t="shared" ca="1" si="8"/>
        <v>204</v>
      </c>
      <c r="K176" s="8" t="str">
        <f t="shared" ca="1" si="7"/>
        <v>SAFE</v>
      </c>
    </row>
    <row r="177" spans="1:11" x14ac:dyDescent="0.25">
      <c r="A177" s="4" t="s">
        <v>201</v>
      </c>
      <c r="B177" s="4" t="s">
        <v>29</v>
      </c>
      <c r="C177" s="5" t="s">
        <v>30</v>
      </c>
      <c r="D177" s="4" t="s">
        <v>10</v>
      </c>
      <c r="E177" s="18">
        <v>45969</v>
      </c>
      <c r="F177" s="18">
        <v>46599</v>
      </c>
      <c r="G177" s="6">
        <v>300</v>
      </c>
      <c r="H177" s="7">
        <v>28000</v>
      </c>
      <c r="I177" s="7">
        <f t="shared" si="6"/>
        <v>8400000</v>
      </c>
      <c r="J177" s="6">
        <f t="shared" ca="1" si="8"/>
        <v>277</v>
      </c>
      <c r="K177" s="4" t="str">
        <f t="shared" ca="1" si="7"/>
        <v>SAFE</v>
      </c>
    </row>
    <row r="178" spans="1:11" x14ac:dyDescent="0.25">
      <c r="A178" s="8" t="s">
        <v>202</v>
      </c>
      <c r="B178" s="8" t="s">
        <v>25</v>
      </c>
      <c r="C178" s="9" t="s">
        <v>26</v>
      </c>
      <c r="D178" s="8" t="s">
        <v>27</v>
      </c>
      <c r="E178" s="19">
        <v>45857</v>
      </c>
      <c r="F178" s="19">
        <v>46406</v>
      </c>
      <c r="G178" s="10">
        <v>250</v>
      </c>
      <c r="H178" s="11">
        <v>58000</v>
      </c>
      <c r="I178" s="11">
        <f t="shared" si="6"/>
        <v>14500000</v>
      </c>
      <c r="J178" s="6">
        <f t="shared" ca="1" si="8"/>
        <v>84</v>
      </c>
      <c r="K178" s="8" t="str">
        <f t="shared" ca="1" si="7"/>
        <v>WARNING</v>
      </c>
    </row>
    <row r="179" spans="1:11" x14ac:dyDescent="0.25">
      <c r="A179" s="4" t="s">
        <v>203</v>
      </c>
      <c r="B179" s="4" t="s">
        <v>12</v>
      </c>
      <c r="C179" s="5" t="s">
        <v>13</v>
      </c>
      <c r="D179" s="4" t="s">
        <v>14</v>
      </c>
      <c r="E179" s="18">
        <v>45871</v>
      </c>
      <c r="F179" s="18">
        <v>46592</v>
      </c>
      <c r="G179" s="6">
        <v>200</v>
      </c>
      <c r="H179" s="7">
        <v>35000</v>
      </c>
      <c r="I179" s="7">
        <f t="shared" si="6"/>
        <v>7000000</v>
      </c>
      <c r="J179" s="6">
        <f t="shared" ca="1" si="8"/>
        <v>270</v>
      </c>
      <c r="K179" s="4" t="str">
        <f t="shared" ca="1" si="7"/>
        <v>SAFE</v>
      </c>
    </row>
    <row r="180" spans="1:11" x14ac:dyDescent="0.25">
      <c r="A180" s="8" t="s">
        <v>204</v>
      </c>
      <c r="B180" s="8" t="s">
        <v>4</v>
      </c>
      <c r="C180" s="9" t="s">
        <v>5</v>
      </c>
      <c r="D180" s="8" t="s">
        <v>6</v>
      </c>
      <c r="E180" s="19">
        <v>46019</v>
      </c>
      <c r="F180" s="19">
        <v>46303</v>
      </c>
      <c r="G180" s="10">
        <v>200</v>
      </c>
      <c r="H180" s="11">
        <v>87000</v>
      </c>
      <c r="I180" s="11">
        <f t="shared" si="6"/>
        <v>17400000</v>
      </c>
      <c r="J180" s="6">
        <f t="shared" ca="1" si="8"/>
        <v>-19</v>
      </c>
      <c r="K180" s="8" t="str">
        <f t="shared" ca="1" si="7"/>
        <v>EXPIRED</v>
      </c>
    </row>
    <row r="181" spans="1:11" x14ac:dyDescent="0.25">
      <c r="A181" s="4" t="s">
        <v>205</v>
      </c>
      <c r="B181" s="4" t="s">
        <v>29</v>
      </c>
      <c r="C181" s="5" t="s">
        <v>30</v>
      </c>
      <c r="D181" s="4" t="s">
        <v>10</v>
      </c>
      <c r="E181" s="18">
        <v>45827</v>
      </c>
      <c r="F181" s="18">
        <v>45975</v>
      </c>
      <c r="G181" s="6">
        <v>500</v>
      </c>
      <c r="H181" s="7">
        <v>26000</v>
      </c>
      <c r="I181" s="7">
        <f t="shared" si="6"/>
        <v>13000000</v>
      </c>
      <c r="J181" s="6">
        <f t="shared" ca="1" si="8"/>
        <v>-347</v>
      </c>
      <c r="K181" s="4" t="str">
        <f t="shared" ca="1" si="7"/>
        <v>EXPIRED</v>
      </c>
    </row>
    <row r="182" spans="1:11" x14ac:dyDescent="0.25">
      <c r="A182" s="8" t="s">
        <v>206</v>
      </c>
      <c r="B182" s="8" t="s">
        <v>25</v>
      </c>
      <c r="C182" s="9" t="s">
        <v>26</v>
      </c>
      <c r="D182" s="8" t="s">
        <v>27</v>
      </c>
      <c r="E182" s="19">
        <v>45921</v>
      </c>
      <c r="F182" s="19">
        <v>46546</v>
      </c>
      <c r="G182" s="10">
        <v>500</v>
      </c>
      <c r="H182" s="11">
        <v>58000</v>
      </c>
      <c r="I182" s="11">
        <f t="shared" si="6"/>
        <v>29000000</v>
      </c>
      <c r="J182" s="6">
        <f t="shared" ca="1" si="8"/>
        <v>224</v>
      </c>
      <c r="K182" s="8" t="str">
        <f t="shared" ca="1" si="7"/>
        <v>SAFE</v>
      </c>
    </row>
    <row r="183" spans="1:11" x14ac:dyDescent="0.25">
      <c r="A183" s="4" t="s">
        <v>207</v>
      </c>
      <c r="B183" s="4" t="s">
        <v>19</v>
      </c>
      <c r="C183" s="5" t="s">
        <v>20</v>
      </c>
      <c r="D183" s="4" t="s">
        <v>21</v>
      </c>
      <c r="E183" s="18">
        <v>46072</v>
      </c>
      <c r="F183" s="18">
        <v>46603</v>
      </c>
      <c r="G183" s="6">
        <v>500</v>
      </c>
      <c r="H183" s="7">
        <v>46000</v>
      </c>
      <c r="I183" s="7">
        <f t="shared" si="6"/>
        <v>23000000</v>
      </c>
      <c r="J183" s="6">
        <f t="shared" ca="1" si="8"/>
        <v>281</v>
      </c>
      <c r="K183" s="4" t="str">
        <f t="shared" ca="1" si="7"/>
        <v>SAFE</v>
      </c>
    </row>
    <row r="184" spans="1:11" x14ac:dyDescent="0.25">
      <c r="A184" s="8" t="s">
        <v>208</v>
      </c>
      <c r="B184" s="8" t="s">
        <v>33</v>
      </c>
      <c r="C184" s="9" t="s">
        <v>34</v>
      </c>
      <c r="D184" s="8" t="s">
        <v>35</v>
      </c>
      <c r="E184" s="19">
        <v>45970</v>
      </c>
      <c r="F184" s="19">
        <v>46247</v>
      </c>
      <c r="G184" s="10">
        <v>1000</v>
      </c>
      <c r="H184" s="11">
        <v>53000</v>
      </c>
      <c r="I184" s="11">
        <f t="shared" si="6"/>
        <v>53000000</v>
      </c>
      <c r="J184" s="6">
        <f t="shared" ca="1" si="8"/>
        <v>-75</v>
      </c>
      <c r="K184" s="8" t="str">
        <f t="shared" ca="1" si="7"/>
        <v>EXPIRED</v>
      </c>
    </row>
    <row r="185" spans="1:11" x14ac:dyDescent="0.25">
      <c r="A185" s="4" t="s">
        <v>209</v>
      </c>
      <c r="B185" s="4" t="s">
        <v>4</v>
      </c>
      <c r="C185" s="5" t="s">
        <v>5</v>
      </c>
      <c r="D185" s="4" t="s">
        <v>6</v>
      </c>
      <c r="E185" s="18">
        <v>45816</v>
      </c>
      <c r="F185" s="18">
        <v>45913</v>
      </c>
      <c r="G185" s="6">
        <v>200</v>
      </c>
      <c r="H185" s="7">
        <v>81000</v>
      </c>
      <c r="I185" s="7">
        <f t="shared" si="6"/>
        <v>16200000</v>
      </c>
      <c r="J185" s="6">
        <f t="shared" ca="1" si="8"/>
        <v>-409</v>
      </c>
      <c r="K185" s="4" t="str">
        <f t="shared" ca="1" si="7"/>
        <v>EXPIRED</v>
      </c>
    </row>
    <row r="186" spans="1:11" x14ac:dyDescent="0.25">
      <c r="A186" s="8" t="s">
        <v>210</v>
      </c>
      <c r="B186" s="8" t="s">
        <v>29</v>
      </c>
      <c r="C186" s="9" t="s">
        <v>30</v>
      </c>
      <c r="D186" s="8" t="s">
        <v>10</v>
      </c>
      <c r="E186" s="19">
        <v>45862</v>
      </c>
      <c r="F186" s="19">
        <v>46121</v>
      </c>
      <c r="G186" s="10">
        <v>200</v>
      </c>
      <c r="H186" s="11">
        <v>25000</v>
      </c>
      <c r="I186" s="11">
        <f t="shared" si="6"/>
        <v>5000000</v>
      </c>
      <c r="J186" s="6">
        <f t="shared" ca="1" si="8"/>
        <v>-201</v>
      </c>
      <c r="K186" s="8" t="str">
        <f t="shared" ca="1" si="7"/>
        <v>EXPIRED</v>
      </c>
    </row>
    <row r="187" spans="1:11" x14ac:dyDescent="0.25">
      <c r="A187" s="4" t="s">
        <v>211</v>
      </c>
      <c r="B187" s="4" t="s">
        <v>29</v>
      </c>
      <c r="C187" s="5" t="s">
        <v>30</v>
      </c>
      <c r="D187" s="4" t="s">
        <v>10</v>
      </c>
      <c r="E187" s="18">
        <v>46099</v>
      </c>
      <c r="F187" s="18">
        <v>46277</v>
      </c>
      <c r="G187" s="6">
        <v>300</v>
      </c>
      <c r="H187" s="7">
        <v>30000</v>
      </c>
      <c r="I187" s="7">
        <f t="shared" si="6"/>
        <v>9000000</v>
      </c>
      <c r="J187" s="6">
        <f t="shared" ca="1" si="8"/>
        <v>-45</v>
      </c>
      <c r="K187" s="4" t="str">
        <f t="shared" ca="1" si="7"/>
        <v>EXPIRED</v>
      </c>
    </row>
    <row r="188" spans="1:11" x14ac:dyDescent="0.25">
      <c r="A188" s="8" t="s">
        <v>212</v>
      </c>
      <c r="B188" s="8" t="s">
        <v>53</v>
      </c>
      <c r="C188" s="9" t="s">
        <v>54</v>
      </c>
      <c r="D188" s="8" t="s">
        <v>35</v>
      </c>
      <c r="E188" s="19">
        <v>45973</v>
      </c>
      <c r="F188" s="19">
        <v>46121</v>
      </c>
      <c r="G188" s="10">
        <v>200</v>
      </c>
      <c r="H188" s="11">
        <v>49000</v>
      </c>
      <c r="I188" s="11">
        <f t="shared" si="6"/>
        <v>9800000</v>
      </c>
      <c r="J188" s="6">
        <f t="shared" ca="1" si="8"/>
        <v>-201</v>
      </c>
      <c r="K188" s="8" t="str">
        <f t="shared" ca="1" si="7"/>
        <v>EXPIRED</v>
      </c>
    </row>
    <row r="189" spans="1:11" x14ac:dyDescent="0.25">
      <c r="A189" s="4" t="s">
        <v>213</v>
      </c>
      <c r="B189" s="4" t="s">
        <v>4</v>
      </c>
      <c r="C189" s="5" t="s">
        <v>5</v>
      </c>
      <c r="D189" s="4" t="s">
        <v>6</v>
      </c>
      <c r="E189" s="18">
        <v>46071</v>
      </c>
      <c r="F189" s="18">
        <v>46436</v>
      </c>
      <c r="G189" s="6">
        <v>100</v>
      </c>
      <c r="H189" s="7">
        <v>87000</v>
      </c>
      <c r="I189" s="7">
        <f t="shared" si="6"/>
        <v>8700000</v>
      </c>
      <c r="J189" s="6">
        <f t="shared" ca="1" si="8"/>
        <v>114</v>
      </c>
      <c r="K189" s="4" t="str">
        <f t="shared" ca="1" si="7"/>
        <v>WARNING</v>
      </c>
    </row>
    <row r="190" spans="1:11" x14ac:dyDescent="0.25">
      <c r="A190" s="8" t="s">
        <v>214</v>
      </c>
      <c r="B190" s="8" t="s">
        <v>8</v>
      </c>
      <c r="C190" s="9" t="s">
        <v>9</v>
      </c>
      <c r="D190" s="8" t="s">
        <v>10</v>
      </c>
      <c r="E190" s="19">
        <v>45844</v>
      </c>
      <c r="F190" s="19">
        <v>46937</v>
      </c>
      <c r="G190" s="10">
        <v>750</v>
      </c>
      <c r="H190" s="11">
        <v>38000</v>
      </c>
      <c r="I190" s="11">
        <f t="shared" si="6"/>
        <v>28500000</v>
      </c>
      <c r="J190" s="6">
        <f t="shared" ca="1" si="8"/>
        <v>615</v>
      </c>
      <c r="K190" s="8" t="str">
        <f t="shared" ca="1" si="7"/>
        <v>SAFE</v>
      </c>
    </row>
    <row r="191" spans="1:11" x14ac:dyDescent="0.25">
      <c r="A191" s="4" t="s">
        <v>215</v>
      </c>
      <c r="B191" s="4" t="s">
        <v>16</v>
      </c>
      <c r="C191" s="5" t="s">
        <v>17</v>
      </c>
      <c r="D191" s="4" t="s">
        <v>6</v>
      </c>
      <c r="E191" s="18">
        <v>45819</v>
      </c>
      <c r="F191" s="18">
        <v>46350</v>
      </c>
      <c r="G191" s="6">
        <v>250</v>
      </c>
      <c r="H191" s="7">
        <v>66000</v>
      </c>
      <c r="I191" s="7">
        <f t="shared" si="6"/>
        <v>16500000</v>
      </c>
      <c r="J191" s="6">
        <f t="shared" ca="1" si="8"/>
        <v>28</v>
      </c>
      <c r="K191" s="4" t="str">
        <f t="shared" ca="1" si="7"/>
        <v>CRITICAL</v>
      </c>
    </row>
    <row r="192" spans="1:11" x14ac:dyDescent="0.25">
      <c r="A192" s="8" t="s">
        <v>216</v>
      </c>
      <c r="B192" s="8" t="s">
        <v>53</v>
      </c>
      <c r="C192" s="9" t="s">
        <v>54</v>
      </c>
      <c r="D192" s="8" t="s">
        <v>35</v>
      </c>
      <c r="E192" s="19">
        <v>46069</v>
      </c>
      <c r="F192" s="19">
        <v>46353</v>
      </c>
      <c r="G192" s="10">
        <v>250</v>
      </c>
      <c r="H192" s="11">
        <v>52000</v>
      </c>
      <c r="I192" s="11">
        <f t="shared" si="6"/>
        <v>13000000</v>
      </c>
      <c r="J192" s="6">
        <f t="shared" ca="1" si="8"/>
        <v>31</v>
      </c>
      <c r="K192" s="8" t="str">
        <f t="shared" ca="1" si="7"/>
        <v>CRITICAL</v>
      </c>
    </row>
    <row r="193" spans="1:11" x14ac:dyDescent="0.25">
      <c r="A193" s="4" t="s">
        <v>217</v>
      </c>
      <c r="B193" s="4" t="s">
        <v>8</v>
      </c>
      <c r="C193" s="5" t="s">
        <v>9</v>
      </c>
      <c r="D193" s="4" t="s">
        <v>10</v>
      </c>
      <c r="E193" s="18">
        <v>46088</v>
      </c>
      <c r="F193" s="18">
        <v>46252</v>
      </c>
      <c r="G193" s="6">
        <v>250</v>
      </c>
      <c r="H193" s="7">
        <v>37000</v>
      </c>
      <c r="I193" s="7">
        <f t="shared" si="6"/>
        <v>9250000</v>
      </c>
      <c r="J193" s="6">
        <f t="shared" ca="1" si="8"/>
        <v>-70</v>
      </c>
      <c r="K193" s="4" t="str">
        <f t="shared" ca="1" si="7"/>
        <v>EXPIRED</v>
      </c>
    </row>
    <row r="194" spans="1:11" x14ac:dyDescent="0.25">
      <c r="A194" s="8" t="s">
        <v>218</v>
      </c>
      <c r="B194" s="8" t="s">
        <v>4</v>
      </c>
      <c r="C194" s="9" t="s">
        <v>5</v>
      </c>
      <c r="D194" s="8" t="s">
        <v>6</v>
      </c>
      <c r="E194" s="19">
        <v>45936</v>
      </c>
      <c r="F194" s="19">
        <v>46483</v>
      </c>
      <c r="G194" s="10">
        <v>100</v>
      </c>
      <c r="H194" s="11">
        <v>88000</v>
      </c>
      <c r="I194" s="11">
        <f t="shared" si="6"/>
        <v>8800000</v>
      </c>
      <c r="J194" s="6">
        <f t="shared" ca="1" si="8"/>
        <v>161</v>
      </c>
      <c r="K194" s="8" t="str">
        <f t="shared" ca="1" si="7"/>
        <v>WARNING</v>
      </c>
    </row>
    <row r="195" spans="1:11" x14ac:dyDescent="0.25">
      <c r="A195" s="4" t="s">
        <v>219</v>
      </c>
      <c r="B195" s="4" t="s">
        <v>45</v>
      </c>
      <c r="C195" s="5" t="s">
        <v>46</v>
      </c>
      <c r="D195" s="4" t="s">
        <v>14</v>
      </c>
      <c r="E195" s="18">
        <v>45848</v>
      </c>
      <c r="F195" s="18">
        <v>46582</v>
      </c>
      <c r="G195" s="6">
        <v>200</v>
      </c>
      <c r="H195" s="7">
        <v>90000</v>
      </c>
      <c r="I195" s="7">
        <f t="shared" si="6"/>
        <v>18000000</v>
      </c>
      <c r="J195" s="6">
        <f t="shared" ca="1" si="8"/>
        <v>260</v>
      </c>
      <c r="K195" s="4" t="str">
        <f t="shared" ca="1" si="7"/>
        <v>SAFE</v>
      </c>
    </row>
    <row r="196" spans="1:11" x14ac:dyDescent="0.25">
      <c r="A196" s="8" t="s">
        <v>220</v>
      </c>
      <c r="B196" s="8" t="s">
        <v>12</v>
      </c>
      <c r="C196" s="9" t="s">
        <v>13</v>
      </c>
      <c r="D196" s="8" t="s">
        <v>14</v>
      </c>
      <c r="E196" s="19">
        <v>46043</v>
      </c>
      <c r="F196" s="19">
        <v>46323</v>
      </c>
      <c r="G196" s="10">
        <v>300</v>
      </c>
      <c r="H196" s="11">
        <v>32000</v>
      </c>
      <c r="I196" s="11">
        <f t="shared" si="6"/>
        <v>9600000</v>
      </c>
      <c r="J196" s="6">
        <f t="shared" ca="1" si="8"/>
        <v>1</v>
      </c>
      <c r="K196" s="8" t="str">
        <f t="shared" ca="1" si="7"/>
        <v>CRITICAL</v>
      </c>
    </row>
    <row r="197" spans="1:11" x14ac:dyDescent="0.25">
      <c r="A197" s="4" t="s">
        <v>221</v>
      </c>
      <c r="B197" s="4" t="s">
        <v>25</v>
      </c>
      <c r="C197" s="5" t="s">
        <v>26</v>
      </c>
      <c r="D197" s="4" t="s">
        <v>27</v>
      </c>
      <c r="E197" s="18">
        <v>46023</v>
      </c>
      <c r="F197" s="18">
        <v>46373</v>
      </c>
      <c r="G197" s="6">
        <v>750</v>
      </c>
      <c r="H197" s="7">
        <v>59000</v>
      </c>
      <c r="I197" s="7">
        <f t="shared" ref="I197:I260" si="9">G197*H197</f>
        <v>44250000</v>
      </c>
      <c r="J197" s="6">
        <f t="shared" ca="1" si="8"/>
        <v>51</v>
      </c>
      <c r="K197" s="4" t="str">
        <f t="shared" ref="K197:K260" ca="1" si="10">IF(J197&lt;0, "EXPIRED", IF(J197&lt;=60, "CRITICAL", IF(J197&lt;=180, "WARNING", "SAFE")))</f>
        <v>CRITICAL</v>
      </c>
    </row>
    <row r="198" spans="1:11" x14ac:dyDescent="0.25">
      <c r="A198" s="8" t="s">
        <v>222</v>
      </c>
      <c r="B198" s="8" t="s">
        <v>33</v>
      </c>
      <c r="C198" s="9" t="s">
        <v>34</v>
      </c>
      <c r="D198" s="8" t="s">
        <v>35</v>
      </c>
      <c r="E198" s="19">
        <v>45849</v>
      </c>
      <c r="F198" s="19">
        <v>46395</v>
      </c>
      <c r="G198" s="10">
        <v>250</v>
      </c>
      <c r="H198" s="11">
        <v>57000</v>
      </c>
      <c r="I198" s="11">
        <f t="shared" si="9"/>
        <v>14250000</v>
      </c>
      <c r="J198" s="6">
        <f t="shared" ref="J198:J261" ca="1" si="11">F198-TODAY()</f>
        <v>73</v>
      </c>
      <c r="K198" s="8" t="str">
        <f t="shared" ca="1" si="10"/>
        <v>WARNING</v>
      </c>
    </row>
    <row r="199" spans="1:11" x14ac:dyDescent="0.25">
      <c r="A199" s="4" t="s">
        <v>223</v>
      </c>
      <c r="B199" s="4" t="s">
        <v>33</v>
      </c>
      <c r="C199" s="5" t="s">
        <v>34</v>
      </c>
      <c r="D199" s="4" t="s">
        <v>35</v>
      </c>
      <c r="E199" s="18">
        <v>45884</v>
      </c>
      <c r="F199" s="18">
        <v>46423</v>
      </c>
      <c r="G199" s="6">
        <v>200</v>
      </c>
      <c r="H199" s="7">
        <v>62000</v>
      </c>
      <c r="I199" s="7">
        <f t="shared" si="9"/>
        <v>12400000</v>
      </c>
      <c r="J199" s="6">
        <f t="shared" ca="1" si="11"/>
        <v>101</v>
      </c>
      <c r="K199" s="4" t="str">
        <f t="shared" ca="1" si="10"/>
        <v>WARNING</v>
      </c>
    </row>
    <row r="200" spans="1:11" x14ac:dyDescent="0.25">
      <c r="A200" s="8" t="s">
        <v>224</v>
      </c>
      <c r="B200" s="8" t="s">
        <v>45</v>
      </c>
      <c r="C200" s="9" t="s">
        <v>46</v>
      </c>
      <c r="D200" s="8" t="s">
        <v>14</v>
      </c>
      <c r="E200" s="19">
        <v>46095</v>
      </c>
      <c r="F200" s="19">
        <v>46627</v>
      </c>
      <c r="G200" s="10">
        <v>200</v>
      </c>
      <c r="H200" s="11">
        <v>97000</v>
      </c>
      <c r="I200" s="11">
        <f t="shared" si="9"/>
        <v>19400000</v>
      </c>
      <c r="J200" s="6">
        <f t="shared" ca="1" si="11"/>
        <v>305</v>
      </c>
      <c r="K200" s="8" t="str">
        <f t="shared" ca="1" si="10"/>
        <v>SAFE</v>
      </c>
    </row>
    <row r="201" spans="1:11" x14ac:dyDescent="0.25">
      <c r="A201" s="4" t="s">
        <v>225</v>
      </c>
      <c r="B201" s="4" t="s">
        <v>45</v>
      </c>
      <c r="C201" s="5" t="s">
        <v>46</v>
      </c>
      <c r="D201" s="4" t="s">
        <v>14</v>
      </c>
      <c r="E201" s="18">
        <v>45981</v>
      </c>
      <c r="F201" s="18">
        <v>46526</v>
      </c>
      <c r="G201" s="6">
        <v>250</v>
      </c>
      <c r="H201" s="7">
        <v>94000</v>
      </c>
      <c r="I201" s="7">
        <f t="shared" si="9"/>
        <v>23500000</v>
      </c>
      <c r="J201" s="6">
        <f t="shared" ca="1" si="11"/>
        <v>204</v>
      </c>
      <c r="K201" s="4" t="str">
        <f t="shared" ca="1" si="10"/>
        <v>SAFE</v>
      </c>
    </row>
    <row r="202" spans="1:11" x14ac:dyDescent="0.25">
      <c r="A202" s="8" t="s">
        <v>226</v>
      </c>
      <c r="B202" s="8" t="s">
        <v>25</v>
      </c>
      <c r="C202" s="9" t="s">
        <v>26</v>
      </c>
      <c r="D202" s="8" t="s">
        <v>27</v>
      </c>
      <c r="E202" s="19">
        <v>46001</v>
      </c>
      <c r="F202" s="19">
        <v>46504</v>
      </c>
      <c r="G202" s="10">
        <v>500</v>
      </c>
      <c r="H202" s="11">
        <v>59000</v>
      </c>
      <c r="I202" s="11">
        <f t="shared" si="9"/>
        <v>29500000</v>
      </c>
      <c r="J202" s="6">
        <f t="shared" ca="1" si="11"/>
        <v>182</v>
      </c>
      <c r="K202" s="8" t="str">
        <f t="shared" ca="1" si="10"/>
        <v>SAFE</v>
      </c>
    </row>
    <row r="203" spans="1:11" x14ac:dyDescent="0.25">
      <c r="A203" s="4" t="s">
        <v>227</v>
      </c>
      <c r="B203" s="4" t="s">
        <v>29</v>
      </c>
      <c r="C203" s="5" t="s">
        <v>30</v>
      </c>
      <c r="D203" s="4" t="s">
        <v>10</v>
      </c>
      <c r="E203" s="18">
        <v>45819</v>
      </c>
      <c r="F203" s="18">
        <v>46455</v>
      </c>
      <c r="G203" s="6">
        <v>500</v>
      </c>
      <c r="H203" s="7">
        <v>27000</v>
      </c>
      <c r="I203" s="7">
        <f t="shared" si="9"/>
        <v>13500000</v>
      </c>
      <c r="J203" s="6">
        <f t="shared" ca="1" si="11"/>
        <v>133</v>
      </c>
      <c r="K203" s="4" t="str">
        <f t="shared" ca="1" si="10"/>
        <v>WARNING</v>
      </c>
    </row>
    <row r="204" spans="1:11" x14ac:dyDescent="0.25">
      <c r="A204" s="8" t="s">
        <v>228</v>
      </c>
      <c r="B204" s="8" t="s">
        <v>12</v>
      </c>
      <c r="C204" s="9" t="s">
        <v>13</v>
      </c>
      <c r="D204" s="8" t="s">
        <v>14</v>
      </c>
      <c r="E204" s="19">
        <v>45906</v>
      </c>
      <c r="F204" s="19">
        <v>46915</v>
      </c>
      <c r="G204" s="10">
        <v>750</v>
      </c>
      <c r="H204" s="11">
        <v>32000</v>
      </c>
      <c r="I204" s="11">
        <f t="shared" si="9"/>
        <v>24000000</v>
      </c>
      <c r="J204" s="6">
        <f t="shared" ca="1" si="11"/>
        <v>593</v>
      </c>
      <c r="K204" s="8" t="str">
        <f t="shared" ca="1" si="10"/>
        <v>SAFE</v>
      </c>
    </row>
    <row r="205" spans="1:11" x14ac:dyDescent="0.25">
      <c r="A205" s="4" t="s">
        <v>229</v>
      </c>
      <c r="B205" s="4" t="s">
        <v>29</v>
      </c>
      <c r="C205" s="5" t="s">
        <v>30</v>
      </c>
      <c r="D205" s="4" t="s">
        <v>10</v>
      </c>
      <c r="E205" s="18">
        <v>46097</v>
      </c>
      <c r="F205" s="18">
        <v>46641</v>
      </c>
      <c r="G205" s="6">
        <v>200</v>
      </c>
      <c r="H205" s="7">
        <v>27000</v>
      </c>
      <c r="I205" s="7">
        <f t="shared" si="9"/>
        <v>5400000</v>
      </c>
      <c r="J205" s="6">
        <f t="shared" ca="1" si="11"/>
        <v>319</v>
      </c>
      <c r="K205" s="4" t="str">
        <f t="shared" ca="1" si="10"/>
        <v>SAFE</v>
      </c>
    </row>
    <row r="206" spans="1:11" x14ac:dyDescent="0.25">
      <c r="A206" s="8" t="s">
        <v>230</v>
      </c>
      <c r="B206" s="8" t="s">
        <v>53</v>
      </c>
      <c r="C206" s="9" t="s">
        <v>54</v>
      </c>
      <c r="D206" s="8" t="s">
        <v>35</v>
      </c>
      <c r="E206" s="19">
        <v>46009</v>
      </c>
      <c r="F206" s="19">
        <v>46554</v>
      </c>
      <c r="G206" s="10">
        <v>250</v>
      </c>
      <c r="H206" s="11">
        <v>55000</v>
      </c>
      <c r="I206" s="11">
        <f t="shared" si="9"/>
        <v>13750000</v>
      </c>
      <c r="J206" s="6">
        <f t="shared" ca="1" si="11"/>
        <v>232</v>
      </c>
      <c r="K206" s="8" t="str">
        <f t="shared" ca="1" si="10"/>
        <v>SAFE</v>
      </c>
    </row>
    <row r="207" spans="1:11" x14ac:dyDescent="0.25">
      <c r="A207" s="4" t="s">
        <v>231</v>
      </c>
      <c r="B207" s="4" t="s">
        <v>19</v>
      </c>
      <c r="C207" s="5" t="s">
        <v>20</v>
      </c>
      <c r="D207" s="4" t="s">
        <v>21</v>
      </c>
      <c r="E207" s="18">
        <v>45937</v>
      </c>
      <c r="F207" s="18">
        <v>46933</v>
      </c>
      <c r="G207" s="6">
        <v>300</v>
      </c>
      <c r="H207" s="7">
        <v>45000</v>
      </c>
      <c r="I207" s="7">
        <f t="shared" si="9"/>
        <v>13500000</v>
      </c>
      <c r="J207" s="6">
        <f t="shared" ca="1" si="11"/>
        <v>611</v>
      </c>
      <c r="K207" s="4" t="str">
        <f t="shared" ca="1" si="10"/>
        <v>SAFE</v>
      </c>
    </row>
    <row r="208" spans="1:11" x14ac:dyDescent="0.25">
      <c r="A208" s="8" t="s">
        <v>232</v>
      </c>
      <c r="B208" s="8" t="s">
        <v>4</v>
      </c>
      <c r="C208" s="9" t="s">
        <v>5</v>
      </c>
      <c r="D208" s="8" t="s">
        <v>6</v>
      </c>
      <c r="E208" s="19">
        <v>46099</v>
      </c>
      <c r="F208" s="19">
        <v>46628</v>
      </c>
      <c r="G208" s="10">
        <v>100</v>
      </c>
      <c r="H208" s="11">
        <v>77000</v>
      </c>
      <c r="I208" s="11">
        <f t="shared" si="9"/>
        <v>7700000</v>
      </c>
      <c r="J208" s="6">
        <f t="shared" ca="1" si="11"/>
        <v>306</v>
      </c>
      <c r="K208" s="8" t="str">
        <f t="shared" ca="1" si="10"/>
        <v>SAFE</v>
      </c>
    </row>
    <row r="209" spans="1:11" x14ac:dyDescent="0.25">
      <c r="A209" s="4" t="s">
        <v>233</v>
      </c>
      <c r="B209" s="4" t="s">
        <v>12</v>
      </c>
      <c r="C209" s="5" t="s">
        <v>13</v>
      </c>
      <c r="D209" s="4" t="s">
        <v>14</v>
      </c>
      <c r="E209" s="18">
        <v>45820</v>
      </c>
      <c r="F209" s="18">
        <v>46451</v>
      </c>
      <c r="G209" s="6">
        <v>500</v>
      </c>
      <c r="H209" s="7">
        <v>28000</v>
      </c>
      <c r="I209" s="7">
        <f t="shared" si="9"/>
        <v>14000000</v>
      </c>
      <c r="J209" s="6">
        <f t="shared" ca="1" si="11"/>
        <v>129</v>
      </c>
      <c r="K209" s="4" t="str">
        <f t="shared" ca="1" si="10"/>
        <v>WARNING</v>
      </c>
    </row>
    <row r="210" spans="1:11" x14ac:dyDescent="0.25">
      <c r="A210" s="8" t="s">
        <v>234</v>
      </c>
      <c r="B210" s="8" t="s">
        <v>19</v>
      </c>
      <c r="C210" s="9" t="s">
        <v>20</v>
      </c>
      <c r="D210" s="8" t="s">
        <v>21</v>
      </c>
      <c r="E210" s="19">
        <v>45865</v>
      </c>
      <c r="F210" s="19">
        <v>46865</v>
      </c>
      <c r="G210" s="10">
        <v>100</v>
      </c>
      <c r="H210" s="11">
        <v>52000</v>
      </c>
      <c r="I210" s="11">
        <f t="shared" si="9"/>
        <v>5200000</v>
      </c>
      <c r="J210" s="6">
        <f t="shared" ca="1" si="11"/>
        <v>543</v>
      </c>
      <c r="K210" s="8" t="str">
        <f t="shared" ca="1" si="10"/>
        <v>SAFE</v>
      </c>
    </row>
    <row r="211" spans="1:11" x14ac:dyDescent="0.25">
      <c r="A211" s="4" t="s">
        <v>235</v>
      </c>
      <c r="B211" s="4" t="s">
        <v>29</v>
      </c>
      <c r="C211" s="5" t="s">
        <v>30</v>
      </c>
      <c r="D211" s="4" t="s">
        <v>10</v>
      </c>
      <c r="E211" s="18">
        <v>46072</v>
      </c>
      <c r="F211" s="18">
        <v>46433</v>
      </c>
      <c r="G211" s="6">
        <v>300</v>
      </c>
      <c r="H211" s="7">
        <v>30000</v>
      </c>
      <c r="I211" s="7">
        <f t="shared" si="9"/>
        <v>9000000</v>
      </c>
      <c r="J211" s="6">
        <f t="shared" ca="1" si="11"/>
        <v>111</v>
      </c>
      <c r="K211" s="4" t="str">
        <f t="shared" ca="1" si="10"/>
        <v>WARNING</v>
      </c>
    </row>
    <row r="212" spans="1:11" x14ac:dyDescent="0.25">
      <c r="A212" s="8" t="s">
        <v>236</v>
      </c>
      <c r="B212" s="8" t="s">
        <v>12</v>
      </c>
      <c r="C212" s="9" t="s">
        <v>13</v>
      </c>
      <c r="D212" s="8" t="s">
        <v>14</v>
      </c>
      <c r="E212" s="19">
        <v>46008</v>
      </c>
      <c r="F212" s="19">
        <v>46562</v>
      </c>
      <c r="G212" s="10">
        <v>300</v>
      </c>
      <c r="H212" s="11">
        <v>30000</v>
      </c>
      <c r="I212" s="11">
        <f t="shared" si="9"/>
        <v>9000000</v>
      </c>
      <c r="J212" s="6">
        <f t="shared" ca="1" si="11"/>
        <v>240</v>
      </c>
      <c r="K212" s="8" t="str">
        <f t="shared" ca="1" si="10"/>
        <v>SAFE</v>
      </c>
    </row>
    <row r="213" spans="1:11" x14ac:dyDescent="0.25">
      <c r="A213" s="4" t="s">
        <v>237</v>
      </c>
      <c r="B213" s="4" t="s">
        <v>33</v>
      </c>
      <c r="C213" s="5" t="s">
        <v>34</v>
      </c>
      <c r="D213" s="4" t="s">
        <v>35</v>
      </c>
      <c r="E213" s="18">
        <v>45834</v>
      </c>
      <c r="F213" s="18">
        <v>47014</v>
      </c>
      <c r="G213" s="6">
        <v>300</v>
      </c>
      <c r="H213" s="7">
        <v>52000</v>
      </c>
      <c r="I213" s="7">
        <f t="shared" si="9"/>
        <v>15600000</v>
      </c>
      <c r="J213" s="6">
        <f t="shared" ca="1" si="11"/>
        <v>692</v>
      </c>
      <c r="K213" s="4" t="str">
        <f t="shared" ca="1" si="10"/>
        <v>SAFE</v>
      </c>
    </row>
    <row r="214" spans="1:11" x14ac:dyDescent="0.25">
      <c r="A214" s="8" t="s">
        <v>238</v>
      </c>
      <c r="B214" s="8" t="s">
        <v>4</v>
      </c>
      <c r="C214" s="9" t="s">
        <v>5</v>
      </c>
      <c r="D214" s="8" t="s">
        <v>6</v>
      </c>
      <c r="E214" s="19">
        <v>46090</v>
      </c>
      <c r="F214" s="19">
        <v>46460</v>
      </c>
      <c r="G214" s="10">
        <v>250</v>
      </c>
      <c r="H214" s="11">
        <v>79000</v>
      </c>
      <c r="I214" s="11">
        <f t="shared" si="9"/>
        <v>19750000</v>
      </c>
      <c r="J214" s="6">
        <f t="shared" ca="1" si="11"/>
        <v>138</v>
      </c>
      <c r="K214" s="8" t="str">
        <f t="shared" ca="1" si="10"/>
        <v>WARNING</v>
      </c>
    </row>
    <row r="215" spans="1:11" x14ac:dyDescent="0.25">
      <c r="A215" s="4" t="s">
        <v>239</v>
      </c>
      <c r="B215" s="4" t="s">
        <v>4</v>
      </c>
      <c r="C215" s="5" t="s">
        <v>5</v>
      </c>
      <c r="D215" s="4" t="s">
        <v>6</v>
      </c>
      <c r="E215" s="18">
        <v>45945</v>
      </c>
      <c r="F215" s="18">
        <v>46848</v>
      </c>
      <c r="G215" s="6">
        <v>1000</v>
      </c>
      <c r="H215" s="7">
        <v>81000</v>
      </c>
      <c r="I215" s="7">
        <f t="shared" si="9"/>
        <v>81000000</v>
      </c>
      <c r="J215" s="6">
        <f t="shared" ca="1" si="11"/>
        <v>526</v>
      </c>
      <c r="K215" s="4" t="str">
        <f t="shared" ca="1" si="10"/>
        <v>SAFE</v>
      </c>
    </row>
    <row r="216" spans="1:11" x14ac:dyDescent="0.25">
      <c r="A216" s="8" t="s">
        <v>240</v>
      </c>
      <c r="B216" s="8" t="s">
        <v>25</v>
      </c>
      <c r="C216" s="9" t="s">
        <v>26</v>
      </c>
      <c r="D216" s="8" t="s">
        <v>27</v>
      </c>
      <c r="E216" s="19">
        <v>46031</v>
      </c>
      <c r="F216" s="19">
        <v>46562</v>
      </c>
      <c r="G216" s="10">
        <v>250</v>
      </c>
      <c r="H216" s="11">
        <v>65000</v>
      </c>
      <c r="I216" s="11">
        <f t="shared" si="9"/>
        <v>16250000</v>
      </c>
      <c r="J216" s="6">
        <f t="shared" ca="1" si="11"/>
        <v>240</v>
      </c>
      <c r="K216" s="8" t="str">
        <f t="shared" ca="1" si="10"/>
        <v>SAFE</v>
      </c>
    </row>
    <row r="217" spans="1:11" x14ac:dyDescent="0.25">
      <c r="A217" s="4" t="s">
        <v>241</v>
      </c>
      <c r="B217" s="4" t="s">
        <v>33</v>
      </c>
      <c r="C217" s="5" t="s">
        <v>34</v>
      </c>
      <c r="D217" s="4" t="s">
        <v>35</v>
      </c>
      <c r="E217" s="18">
        <v>45911</v>
      </c>
      <c r="F217" s="18">
        <v>47105</v>
      </c>
      <c r="G217" s="6">
        <v>200</v>
      </c>
      <c r="H217" s="7">
        <v>53000</v>
      </c>
      <c r="I217" s="7">
        <f t="shared" si="9"/>
        <v>10600000</v>
      </c>
      <c r="J217" s="6">
        <f t="shared" ca="1" si="11"/>
        <v>783</v>
      </c>
      <c r="K217" s="4" t="str">
        <f t="shared" ca="1" si="10"/>
        <v>SAFE</v>
      </c>
    </row>
    <row r="218" spans="1:11" x14ac:dyDescent="0.25">
      <c r="A218" s="8" t="s">
        <v>242</v>
      </c>
      <c r="B218" s="8" t="s">
        <v>8</v>
      </c>
      <c r="C218" s="9" t="s">
        <v>9</v>
      </c>
      <c r="D218" s="8" t="s">
        <v>10</v>
      </c>
      <c r="E218" s="19">
        <v>46101</v>
      </c>
      <c r="F218" s="19">
        <v>46471</v>
      </c>
      <c r="G218" s="10">
        <v>500</v>
      </c>
      <c r="H218" s="11">
        <v>35000</v>
      </c>
      <c r="I218" s="11">
        <f t="shared" si="9"/>
        <v>17500000</v>
      </c>
      <c r="J218" s="6">
        <f t="shared" ca="1" si="11"/>
        <v>149</v>
      </c>
      <c r="K218" s="8" t="str">
        <f t="shared" ca="1" si="10"/>
        <v>WARNING</v>
      </c>
    </row>
    <row r="219" spans="1:11" x14ac:dyDescent="0.25">
      <c r="A219" s="4" t="s">
        <v>243</v>
      </c>
      <c r="B219" s="4" t="s">
        <v>4</v>
      </c>
      <c r="C219" s="5" t="s">
        <v>5</v>
      </c>
      <c r="D219" s="4" t="s">
        <v>6</v>
      </c>
      <c r="E219" s="18">
        <v>45823</v>
      </c>
      <c r="F219" s="18">
        <v>46351</v>
      </c>
      <c r="G219" s="6">
        <v>500</v>
      </c>
      <c r="H219" s="7">
        <v>83000</v>
      </c>
      <c r="I219" s="7">
        <f t="shared" si="9"/>
        <v>41500000</v>
      </c>
      <c r="J219" s="6">
        <f t="shared" ca="1" si="11"/>
        <v>29</v>
      </c>
      <c r="K219" s="4" t="str">
        <f t="shared" ca="1" si="10"/>
        <v>CRITICAL</v>
      </c>
    </row>
    <row r="220" spans="1:11" x14ac:dyDescent="0.25">
      <c r="A220" s="8" t="s">
        <v>244</v>
      </c>
      <c r="B220" s="8" t="s">
        <v>25</v>
      </c>
      <c r="C220" s="9" t="s">
        <v>26</v>
      </c>
      <c r="D220" s="8" t="s">
        <v>27</v>
      </c>
      <c r="E220" s="19">
        <v>45969</v>
      </c>
      <c r="F220" s="19">
        <v>46503</v>
      </c>
      <c r="G220" s="10">
        <v>750</v>
      </c>
      <c r="H220" s="11">
        <v>56000</v>
      </c>
      <c r="I220" s="11">
        <f t="shared" si="9"/>
        <v>42000000</v>
      </c>
      <c r="J220" s="6">
        <f t="shared" ca="1" si="11"/>
        <v>181</v>
      </c>
      <c r="K220" s="8" t="str">
        <f t="shared" ca="1" si="10"/>
        <v>SAFE</v>
      </c>
    </row>
    <row r="221" spans="1:11" x14ac:dyDescent="0.25">
      <c r="A221" s="4" t="s">
        <v>245</v>
      </c>
      <c r="B221" s="4" t="s">
        <v>4</v>
      </c>
      <c r="C221" s="5" t="s">
        <v>5</v>
      </c>
      <c r="D221" s="4" t="s">
        <v>6</v>
      </c>
      <c r="E221" s="18">
        <v>46035</v>
      </c>
      <c r="F221" s="18">
        <v>46589</v>
      </c>
      <c r="G221" s="6">
        <v>100</v>
      </c>
      <c r="H221" s="7">
        <v>87000</v>
      </c>
      <c r="I221" s="7">
        <f t="shared" si="9"/>
        <v>8700000</v>
      </c>
      <c r="J221" s="6">
        <f t="shared" ca="1" si="11"/>
        <v>267</v>
      </c>
      <c r="K221" s="4" t="str">
        <f t="shared" ca="1" si="10"/>
        <v>SAFE</v>
      </c>
    </row>
    <row r="222" spans="1:11" x14ac:dyDescent="0.25">
      <c r="A222" s="8" t="s">
        <v>246</v>
      </c>
      <c r="B222" s="8" t="s">
        <v>25</v>
      </c>
      <c r="C222" s="9" t="s">
        <v>26</v>
      </c>
      <c r="D222" s="8" t="s">
        <v>27</v>
      </c>
      <c r="E222" s="19">
        <v>45904</v>
      </c>
      <c r="F222" s="19">
        <v>46435</v>
      </c>
      <c r="G222" s="10">
        <v>100</v>
      </c>
      <c r="H222" s="11">
        <v>55000</v>
      </c>
      <c r="I222" s="11">
        <f t="shared" si="9"/>
        <v>5500000</v>
      </c>
      <c r="J222" s="6">
        <f t="shared" ca="1" si="11"/>
        <v>113</v>
      </c>
      <c r="K222" s="8" t="str">
        <f t="shared" ca="1" si="10"/>
        <v>WARNING</v>
      </c>
    </row>
    <row r="223" spans="1:11" x14ac:dyDescent="0.25">
      <c r="A223" s="4" t="s">
        <v>247</v>
      </c>
      <c r="B223" s="4" t="s">
        <v>16</v>
      </c>
      <c r="C223" s="5" t="s">
        <v>17</v>
      </c>
      <c r="D223" s="4" t="s">
        <v>6</v>
      </c>
      <c r="E223" s="18">
        <v>46044</v>
      </c>
      <c r="F223" s="18">
        <v>46412</v>
      </c>
      <c r="G223" s="6">
        <v>200</v>
      </c>
      <c r="H223" s="7">
        <v>68000</v>
      </c>
      <c r="I223" s="7">
        <f t="shared" si="9"/>
        <v>13600000</v>
      </c>
      <c r="J223" s="6">
        <f t="shared" ca="1" si="11"/>
        <v>90</v>
      </c>
      <c r="K223" s="4" t="str">
        <f t="shared" ca="1" si="10"/>
        <v>WARNING</v>
      </c>
    </row>
    <row r="224" spans="1:11" x14ac:dyDescent="0.25">
      <c r="A224" s="8" t="s">
        <v>248</v>
      </c>
      <c r="B224" s="8" t="s">
        <v>33</v>
      </c>
      <c r="C224" s="9" t="s">
        <v>34</v>
      </c>
      <c r="D224" s="8" t="s">
        <v>35</v>
      </c>
      <c r="E224" s="19">
        <v>45873</v>
      </c>
      <c r="F224" s="19">
        <v>46040</v>
      </c>
      <c r="G224" s="10">
        <v>250</v>
      </c>
      <c r="H224" s="11">
        <v>59000</v>
      </c>
      <c r="I224" s="11">
        <f t="shared" si="9"/>
        <v>14750000</v>
      </c>
      <c r="J224" s="6">
        <f t="shared" ca="1" si="11"/>
        <v>-282</v>
      </c>
      <c r="K224" s="8" t="str">
        <f t="shared" ca="1" si="10"/>
        <v>EXPIRED</v>
      </c>
    </row>
    <row r="225" spans="1:11" x14ac:dyDescent="0.25">
      <c r="A225" s="4" t="s">
        <v>249</v>
      </c>
      <c r="B225" s="4" t="s">
        <v>25</v>
      </c>
      <c r="C225" s="5" t="s">
        <v>26</v>
      </c>
      <c r="D225" s="4" t="s">
        <v>27</v>
      </c>
      <c r="E225" s="18">
        <v>45954</v>
      </c>
      <c r="F225" s="18">
        <v>46508</v>
      </c>
      <c r="G225" s="6">
        <v>200</v>
      </c>
      <c r="H225" s="7">
        <v>59000</v>
      </c>
      <c r="I225" s="7">
        <f t="shared" si="9"/>
        <v>11800000</v>
      </c>
      <c r="J225" s="6">
        <f t="shared" ca="1" si="11"/>
        <v>186</v>
      </c>
      <c r="K225" s="4" t="str">
        <f t="shared" ca="1" si="10"/>
        <v>SAFE</v>
      </c>
    </row>
    <row r="226" spans="1:11" x14ac:dyDescent="0.25">
      <c r="A226" s="8" t="s">
        <v>250</v>
      </c>
      <c r="B226" s="8" t="s">
        <v>45</v>
      </c>
      <c r="C226" s="9" t="s">
        <v>46</v>
      </c>
      <c r="D226" s="8" t="s">
        <v>14</v>
      </c>
      <c r="E226" s="19">
        <v>45948</v>
      </c>
      <c r="F226" s="19">
        <v>46657</v>
      </c>
      <c r="G226" s="10">
        <v>500</v>
      </c>
      <c r="H226" s="11">
        <v>95000</v>
      </c>
      <c r="I226" s="11">
        <f t="shared" si="9"/>
        <v>47500000</v>
      </c>
      <c r="J226" s="6">
        <f t="shared" ca="1" si="11"/>
        <v>335</v>
      </c>
      <c r="K226" s="8" t="str">
        <f t="shared" ca="1" si="10"/>
        <v>SAFE</v>
      </c>
    </row>
    <row r="227" spans="1:11" x14ac:dyDescent="0.25">
      <c r="A227" s="4" t="s">
        <v>251</v>
      </c>
      <c r="B227" s="4" t="s">
        <v>12</v>
      </c>
      <c r="C227" s="5" t="s">
        <v>13</v>
      </c>
      <c r="D227" s="4" t="s">
        <v>14</v>
      </c>
      <c r="E227" s="18">
        <v>46103</v>
      </c>
      <c r="F227" s="18">
        <v>46641</v>
      </c>
      <c r="G227" s="6">
        <v>300</v>
      </c>
      <c r="H227" s="7">
        <v>33000</v>
      </c>
      <c r="I227" s="7">
        <f t="shared" si="9"/>
        <v>9900000</v>
      </c>
      <c r="J227" s="6">
        <f t="shared" ca="1" si="11"/>
        <v>319</v>
      </c>
      <c r="K227" s="4" t="str">
        <f t="shared" ca="1" si="10"/>
        <v>SAFE</v>
      </c>
    </row>
    <row r="228" spans="1:11" x14ac:dyDescent="0.25">
      <c r="A228" s="8" t="s">
        <v>252</v>
      </c>
      <c r="B228" s="8" t="s">
        <v>25</v>
      </c>
      <c r="C228" s="9" t="s">
        <v>26</v>
      </c>
      <c r="D228" s="8" t="s">
        <v>27</v>
      </c>
      <c r="E228" s="19">
        <v>45961</v>
      </c>
      <c r="F228" s="19">
        <v>46309</v>
      </c>
      <c r="G228" s="10">
        <v>200</v>
      </c>
      <c r="H228" s="11">
        <v>58000</v>
      </c>
      <c r="I228" s="11">
        <f t="shared" si="9"/>
        <v>11600000</v>
      </c>
      <c r="J228" s="6">
        <f t="shared" ca="1" si="11"/>
        <v>-13</v>
      </c>
      <c r="K228" s="8" t="str">
        <f t="shared" ca="1" si="10"/>
        <v>EXPIRED</v>
      </c>
    </row>
    <row r="229" spans="1:11" x14ac:dyDescent="0.25">
      <c r="A229" s="4" t="s">
        <v>253</v>
      </c>
      <c r="B229" s="4" t="s">
        <v>12</v>
      </c>
      <c r="C229" s="5" t="s">
        <v>13</v>
      </c>
      <c r="D229" s="4" t="s">
        <v>14</v>
      </c>
      <c r="E229" s="18">
        <v>46051</v>
      </c>
      <c r="F229" s="18">
        <v>46405</v>
      </c>
      <c r="G229" s="6">
        <v>100</v>
      </c>
      <c r="H229" s="7">
        <v>28000</v>
      </c>
      <c r="I229" s="7">
        <f t="shared" si="9"/>
        <v>2800000</v>
      </c>
      <c r="J229" s="6">
        <f t="shared" ca="1" si="11"/>
        <v>83</v>
      </c>
      <c r="K229" s="4" t="str">
        <f t="shared" ca="1" si="10"/>
        <v>WARNING</v>
      </c>
    </row>
    <row r="230" spans="1:11" x14ac:dyDescent="0.25">
      <c r="A230" s="8" t="s">
        <v>254</v>
      </c>
      <c r="B230" s="8" t="s">
        <v>33</v>
      </c>
      <c r="C230" s="9" t="s">
        <v>34</v>
      </c>
      <c r="D230" s="8" t="s">
        <v>35</v>
      </c>
      <c r="E230" s="19">
        <v>46049</v>
      </c>
      <c r="F230" s="19">
        <v>46777</v>
      </c>
      <c r="G230" s="10">
        <v>250</v>
      </c>
      <c r="H230" s="11">
        <v>56000</v>
      </c>
      <c r="I230" s="11">
        <f t="shared" si="9"/>
        <v>14000000</v>
      </c>
      <c r="J230" s="6">
        <f t="shared" ca="1" si="11"/>
        <v>455</v>
      </c>
      <c r="K230" s="8" t="str">
        <f t="shared" ca="1" si="10"/>
        <v>SAFE</v>
      </c>
    </row>
    <row r="231" spans="1:11" x14ac:dyDescent="0.25">
      <c r="A231" s="4" t="s">
        <v>255</v>
      </c>
      <c r="B231" s="4" t="s">
        <v>12</v>
      </c>
      <c r="C231" s="5" t="s">
        <v>13</v>
      </c>
      <c r="D231" s="4" t="s">
        <v>14</v>
      </c>
      <c r="E231" s="18">
        <v>45855</v>
      </c>
      <c r="F231" s="18">
        <v>46393</v>
      </c>
      <c r="G231" s="6">
        <v>750</v>
      </c>
      <c r="H231" s="7">
        <v>29000</v>
      </c>
      <c r="I231" s="7">
        <f t="shared" si="9"/>
        <v>21750000</v>
      </c>
      <c r="J231" s="6">
        <f t="shared" ca="1" si="11"/>
        <v>71</v>
      </c>
      <c r="K231" s="4" t="str">
        <f t="shared" ca="1" si="10"/>
        <v>WARNING</v>
      </c>
    </row>
    <row r="232" spans="1:11" x14ac:dyDescent="0.25">
      <c r="A232" s="8" t="s">
        <v>256</v>
      </c>
      <c r="B232" s="8" t="s">
        <v>19</v>
      </c>
      <c r="C232" s="9" t="s">
        <v>20</v>
      </c>
      <c r="D232" s="8" t="s">
        <v>21</v>
      </c>
      <c r="E232" s="19">
        <v>45869</v>
      </c>
      <c r="F232" s="19">
        <v>46401</v>
      </c>
      <c r="G232" s="10">
        <v>500</v>
      </c>
      <c r="H232" s="11">
        <v>50000</v>
      </c>
      <c r="I232" s="11">
        <f t="shared" si="9"/>
        <v>25000000</v>
      </c>
      <c r="J232" s="6">
        <f t="shared" ca="1" si="11"/>
        <v>79</v>
      </c>
      <c r="K232" s="8" t="str">
        <f t="shared" ca="1" si="10"/>
        <v>WARNING</v>
      </c>
    </row>
    <row r="233" spans="1:11" x14ac:dyDescent="0.25">
      <c r="A233" s="4" t="s">
        <v>257</v>
      </c>
      <c r="B233" s="4" t="s">
        <v>19</v>
      </c>
      <c r="C233" s="5" t="s">
        <v>20</v>
      </c>
      <c r="D233" s="4" t="s">
        <v>21</v>
      </c>
      <c r="E233" s="18">
        <v>46024</v>
      </c>
      <c r="F233" s="18">
        <v>46551</v>
      </c>
      <c r="G233" s="6">
        <v>200</v>
      </c>
      <c r="H233" s="7">
        <v>52000</v>
      </c>
      <c r="I233" s="7">
        <f t="shared" si="9"/>
        <v>10400000</v>
      </c>
      <c r="J233" s="6">
        <f t="shared" ca="1" si="11"/>
        <v>229</v>
      </c>
      <c r="K233" s="4" t="str">
        <f t="shared" ca="1" si="10"/>
        <v>SAFE</v>
      </c>
    </row>
    <row r="234" spans="1:11" x14ac:dyDescent="0.25">
      <c r="A234" s="8" t="s">
        <v>258</v>
      </c>
      <c r="B234" s="8" t="s">
        <v>45</v>
      </c>
      <c r="C234" s="9" t="s">
        <v>46</v>
      </c>
      <c r="D234" s="8" t="s">
        <v>14</v>
      </c>
      <c r="E234" s="19">
        <v>45876</v>
      </c>
      <c r="F234" s="19">
        <v>46587</v>
      </c>
      <c r="G234" s="10">
        <v>250</v>
      </c>
      <c r="H234" s="11">
        <v>92000</v>
      </c>
      <c r="I234" s="11">
        <f t="shared" si="9"/>
        <v>23000000</v>
      </c>
      <c r="J234" s="6">
        <f t="shared" ca="1" si="11"/>
        <v>265</v>
      </c>
      <c r="K234" s="8" t="str">
        <f t="shared" ca="1" si="10"/>
        <v>SAFE</v>
      </c>
    </row>
    <row r="235" spans="1:11" x14ac:dyDescent="0.25">
      <c r="A235" s="4" t="s">
        <v>259</v>
      </c>
      <c r="B235" s="4" t="s">
        <v>8</v>
      </c>
      <c r="C235" s="5" t="s">
        <v>9</v>
      </c>
      <c r="D235" s="4" t="s">
        <v>10</v>
      </c>
      <c r="E235" s="18">
        <v>45931</v>
      </c>
      <c r="F235" s="18">
        <v>46439</v>
      </c>
      <c r="G235" s="6">
        <v>100</v>
      </c>
      <c r="H235" s="7">
        <v>33000</v>
      </c>
      <c r="I235" s="7">
        <f t="shared" si="9"/>
        <v>3300000</v>
      </c>
      <c r="J235" s="6">
        <f t="shared" ca="1" si="11"/>
        <v>117</v>
      </c>
      <c r="K235" s="4" t="str">
        <f t="shared" ca="1" si="10"/>
        <v>WARNING</v>
      </c>
    </row>
    <row r="236" spans="1:11" x14ac:dyDescent="0.25">
      <c r="A236" s="8" t="s">
        <v>260</v>
      </c>
      <c r="B236" s="8" t="s">
        <v>33</v>
      </c>
      <c r="C236" s="9" t="s">
        <v>34</v>
      </c>
      <c r="D236" s="8" t="s">
        <v>35</v>
      </c>
      <c r="E236" s="19">
        <v>45817</v>
      </c>
      <c r="F236" s="19">
        <v>46461</v>
      </c>
      <c r="G236" s="10">
        <v>300</v>
      </c>
      <c r="H236" s="11">
        <v>62000</v>
      </c>
      <c r="I236" s="11">
        <f t="shared" si="9"/>
        <v>18600000</v>
      </c>
      <c r="J236" s="6">
        <f t="shared" ca="1" si="11"/>
        <v>139</v>
      </c>
      <c r="K236" s="8" t="str">
        <f t="shared" ca="1" si="10"/>
        <v>WARNING</v>
      </c>
    </row>
    <row r="237" spans="1:11" x14ac:dyDescent="0.25">
      <c r="A237" s="4" t="s">
        <v>261</v>
      </c>
      <c r="B237" s="4" t="s">
        <v>25</v>
      </c>
      <c r="C237" s="5" t="s">
        <v>26</v>
      </c>
      <c r="D237" s="4" t="s">
        <v>27</v>
      </c>
      <c r="E237" s="18">
        <v>45932</v>
      </c>
      <c r="F237" s="18">
        <v>46559</v>
      </c>
      <c r="G237" s="6">
        <v>300</v>
      </c>
      <c r="H237" s="7">
        <v>64000</v>
      </c>
      <c r="I237" s="7">
        <f t="shared" si="9"/>
        <v>19200000</v>
      </c>
      <c r="J237" s="6">
        <f t="shared" ca="1" si="11"/>
        <v>237</v>
      </c>
      <c r="K237" s="4" t="str">
        <f t="shared" ca="1" si="10"/>
        <v>SAFE</v>
      </c>
    </row>
    <row r="238" spans="1:11" x14ac:dyDescent="0.25">
      <c r="A238" s="8" t="s">
        <v>262</v>
      </c>
      <c r="B238" s="8" t="s">
        <v>25</v>
      </c>
      <c r="C238" s="9" t="s">
        <v>26</v>
      </c>
      <c r="D238" s="8" t="s">
        <v>27</v>
      </c>
      <c r="E238" s="19">
        <v>45845</v>
      </c>
      <c r="F238" s="19">
        <v>46387</v>
      </c>
      <c r="G238" s="10">
        <v>750</v>
      </c>
      <c r="H238" s="11">
        <v>55000</v>
      </c>
      <c r="I238" s="11">
        <f t="shared" si="9"/>
        <v>41250000</v>
      </c>
      <c r="J238" s="6">
        <f t="shared" ca="1" si="11"/>
        <v>65</v>
      </c>
      <c r="K238" s="8" t="str">
        <f t="shared" ca="1" si="10"/>
        <v>WARNING</v>
      </c>
    </row>
    <row r="239" spans="1:11" x14ac:dyDescent="0.25">
      <c r="A239" s="4" t="s">
        <v>263</v>
      </c>
      <c r="B239" s="4" t="s">
        <v>25</v>
      </c>
      <c r="C239" s="5" t="s">
        <v>26</v>
      </c>
      <c r="D239" s="4" t="s">
        <v>27</v>
      </c>
      <c r="E239" s="18">
        <v>45848</v>
      </c>
      <c r="F239" s="18">
        <v>46402</v>
      </c>
      <c r="G239" s="6">
        <v>300</v>
      </c>
      <c r="H239" s="7">
        <v>64000</v>
      </c>
      <c r="I239" s="7">
        <f t="shared" si="9"/>
        <v>19200000</v>
      </c>
      <c r="J239" s="6">
        <f t="shared" ca="1" si="11"/>
        <v>80</v>
      </c>
      <c r="K239" s="4" t="str">
        <f t="shared" ca="1" si="10"/>
        <v>WARNING</v>
      </c>
    </row>
    <row r="240" spans="1:11" x14ac:dyDescent="0.25">
      <c r="A240" s="8" t="s">
        <v>264</v>
      </c>
      <c r="B240" s="8" t="s">
        <v>8</v>
      </c>
      <c r="C240" s="9" t="s">
        <v>9</v>
      </c>
      <c r="D240" s="8" t="s">
        <v>10</v>
      </c>
      <c r="E240" s="19">
        <v>45864</v>
      </c>
      <c r="F240" s="19">
        <v>46581</v>
      </c>
      <c r="G240" s="10">
        <v>300</v>
      </c>
      <c r="H240" s="11">
        <v>36000</v>
      </c>
      <c r="I240" s="11">
        <f t="shared" si="9"/>
        <v>10800000</v>
      </c>
      <c r="J240" s="6">
        <f t="shared" ca="1" si="11"/>
        <v>259</v>
      </c>
      <c r="K240" s="8" t="str">
        <f t="shared" ca="1" si="10"/>
        <v>SAFE</v>
      </c>
    </row>
    <row r="241" spans="1:11" x14ac:dyDescent="0.25">
      <c r="A241" s="4" t="s">
        <v>265</v>
      </c>
      <c r="B241" s="4" t="s">
        <v>19</v>
      </c>
      <c r="C241" s="5" t="s">
        <v>20</v>
      </c>
      <c r="D241" s="4" t="s">
        <v>21</v>
      </c>
      <c r="E241" s="18">
        <v>46070</v>
      </c>
      <c r="F241" s="18">
        <v>46430</v>
      </c>
      <c r="G241" s="6">
        <v>300</v>
      </c>
      <c r="H241" s="7">
        <v>45000</v>
      </c>
      <c r="I241" s="7">
        <f t="shared" si="9"/>
        <v>13500000</v>
      </c>
      <c r="J241" s="6">
        <f t="shared" ca="1" si="11"/>
        <v>108</v>
      </c>
      <c r="K241" s="4" t="str">
        <f t="shared" ca="1" si="10"/>
        <v>WARNING</v>
      </c>
    </row>
    <row r="242" spans="1:11" x14ac:dyDescent="0.25">
      <c r="A242" s="8" t="s">
        <v>266</v>
      </c>
      <c r="B242" s="8" t="s">
        <v>45</v>
      </c>
      <c r="C242" s="9" t="s">
        <v>46</v>
      </c>
      <c r="D242" s="8" t="s">
        <v>14</v>
      </c>
      <c r="E242" s="19">
        <v>46077</v>
      </c>
      <c r="F242" s="19">
        <v>46626</v>
      </c>
      <c r="G242" s="10">
        <v>750</v>
      </c>
      <c r="H242" s="11">
        <v>88000</v>
      </c>
      <c r="I242" s="11">
        <f t="shared" si="9"/>
        <v>66000000</v>
      </c>
      <c r="J242" s="6">
        <f t="shared" ca="1" si="11"/>
        <v>304</v>
      </c>
      <c r="K242" s="8" t="str">
        <f t="shared" ca="1" si="10"/>
        <v>SAFE</v>
      </c>
    </row>
    <row r="243" spans="1:11" x14ac:dyDescent="0.25">
      <c r="A243" s="4" t="s">
        <v>267</v>
      </c>
      <c r="B243" s="4" t="s">
        <v>12</v>
      </c>
      <c r="C243" s="5" t="s">
        <v>13</v>
      </c>
      <c r="D243" s="4" t="s">
        <v>14</v>
      </c>
      <c r="E243" s="18">
        <v>45996</v>
      </c>
      <c r="F243" s="18">
        <v>46536</v>
      </c>
      <c r="G243" s="6">
        <v>1000</v>
      </c>
      <c r="H243" s="7">
        <v>28000</v>
      </c>
      <c r="I243" s="7">
        <f t="shared" si="9"/>
        <v>28000000</v>
      </c>
      <c r="J243" s="6">
        <f t="shared" ca="1" si="11"/>
        <v>214</v>
      </c>
      <c r="K243" s="4" t="str">
        <f t="shared" ca="1" si="10"/>
        <v>SAFE</v>
      </c>
    </row>
    <row r="244" spans="1:11" x14ac:dyDescent="0.25">
      <c r="A244" s="8" t="s">
        <v>268</v>
      </c>
      <c r="B244" s="8" t="s">
        <v>8</v>
      </c>
      <c r="C244" s="9" t="s">
        <v>9</v>
      </c>
      <c r="D244" s="8" t="s">
        <v>10</v>
      </c>
      <c r="E244" s="19">
        <v>45839</v>
      </c>
      <c r="F244" s="19">
        <v>46373</v>
      </c>
      <c r="G244" s="10">
        <v>500</v>
      </c>
      <c r="H244" s="11">
        <v>36000</v>
      </c>
      <c r="I244" s="11">
        <f t="shared" si="9"/>
        <v>18000000</v>
      </c>
      <c r="J244" s="6">
        <f t="shared" ca="1" si="11"/>
        <v>51</v>
      </c>
      <c r="K244" s="8" t="str">
        <f t="shared" ca="1" si="10"/>
        <v>CRITICAL</v>
      </c>
    </row>
    <row r="245" spans="1:11" x14ac:dyDescent="0.25">
      <c r="A245" s="4" t="s">
        <v>269</v>
      </c>
      <c r="B245" s="4" t="s">
        <v>4</v>
      </c>
      <c r="C245" s="5" t="s">
        <v>5</v>
      </c>
      <c r="D245" s="4" t="s">
        <v>6</v>
      </c>
      <c r="E245" s="18">
        <v>45890</v>
      </c>
      <c r="F245" s="18">
        <v>46428</v>
      </c>
      <c r="G245" s="6">
        <v>500</v>
      </c>
      <c r="H245" s="7">
        <v>86000</v>
      </c>
      <c r="I245" s="7">
        <f t="shared" si="9"/>
        <v>43000000</v>
      </c>
      <c r="J245" s="6">
        <f t="shared" ca="1" si="11"/>
        <v>106</v>
      </c>
      <c r="K245" s="4" t="str">
        <f t="shared" ca="1" si="10"/>
        <v>WARNING</v>
      </c>
    </row>
    <row r="246" spans="1:11" x14ac:dyDescent="0.25">
      <c r="A246" s="8" t="s">
        <v>270</v>
      </c>
      <c r="B246" s="8" t="s">
        <v>4</v>
      </c>
      <c r="C246" s="9" t="s">
        <v>5</v>
      </c>
      <c r="D246" s="8" t="s">
        <v>6</v>
      </c>
      <c r="E246" s="19">
        <v>46032</v>
      </c>
      <c r="F246" s="19">
        <v>46924</v>
      </c>
      <c r="G246" s="10">
        <v>1000</v>
      </c>
      <c r="H246" s="11">
        <v>75000</v>
      </c>
      <c r="I246" s="11">
        <f t="shared" si="9"/>
        <v>75000000</v>
      </c>
      <c r="J246" s="6">
        <f t="shared" ca="1" si="11"/>
        <v>602</v>
      </c>
      <c r="K246" s="8" t="str">
        <f t="shared" ca="1" si="10"/>
        <v>SAFE</v>
      </c>
    </row>
    <row r="247" spans="1:11" x14ac:dyDescent="0.25">
      <c r="A247" s="4" t="s">
        <v>271</v>
      </c>
      <c r="B247" s="4" t="s">
        <v>29</v>
      </c>
      <c r="C247" s="5" t="s">
        <v>30</v>
      </c>
      <c r="D247" s="4" t="s">
        <v>10</v>
      </c>
      <c r="E247" s="18">
        <v>46031</v>
      </c>
      <c r="F247" s="18">
        <v>46309</v>
      </c>
      <c r="G247" s="6">
        <v>500</v>
      </c>
      <c r="H247" s="7">
        <v>30000</v>
      </c>
      <c r="I247" s="7">
        <f t="shared" si="9"/>
        <v>15000000</v>
      </c>
      <c r="J247" s="6">
        <f t="shared" ca="1" si="11"/>
        <v>-13</v>
      </c>
      <c r="K247" s="4" t="str">
        <f t="shared" ca="1" si="10"/>
        <v>EXPIRED</v>
      </c>
    </row>
    <row r="248" spans="1:11" x14ac:dyDescent="0.25">
      <c r="A248" s="8" t="s">
        <v>272</v>
      </c>
      <c r="B248" s="8" t="s">
        <v>8</v>
      </c>
      <c r="C248" s="9" t="s">
        <v>9</v>
      </c>
      <c r="D248" s="8" t="s">
        <v>10</v>
      </c>
      <c r="E248" s="19">
        <v>45882</v>
      </c>
      <c r="F248" s="19">
        <v>46138</v>
      </c>
      <c r="G248" s="10">
        <v>250</v>
      </c>
      <c r="H248" s="11">
        <v>35000</v>
      </c>
      <c r="I248" s="11">
        <f t="shared" si="9"/>
        <v>8750000</v>
      </c>
      <c r="J248" s="6">
        <f t="shared" ca="1" si="11"/>
        <v>-184</v>
      </c>
      <c r="K248" s="8" t="str">
        <f t="shared" ca="1" si="10"/>
        <v>EXPIRED</v>
      </c>
    </row>
    <row r="249" spans="1:11" x14ac:dyDescent="0.25">
      <c r="A249" s="4" t="s">
        <v>273</v>
      </c>
      <c r="B249" s="4" t="s">
        <v>16</v>
      </c>
      <c r="C249" s="5" t="s">
        <v>17</v>
      </c>
      <c r="D249" s="4" t="s">
        <v>6</v>
      </c>
      <c r="E249" s="18">
        <v>46086</v>
      </c>
      <c r="F249" s="18">
        <v>46794</v>
      </c>
      <c r="G249" s="6">
        <v>100</v>
      </c>
      <c r="H249" s="7">
        <v>70000</v>
      </c>
      <c r="I249" s="7">
        <f t="shared" si="9"/>
        <v>7000000</v>
      </c>
      <c r="J249" s="6">
        <f t="shared" ca="1" si="11"/>
        <v>472</v>
      </c>
      <c r="K249" s="4" t="str">
        <f t="shared" ca="1" si="10"/>
        <v>SAFE</v>
      </c>
    </row>
    <row r="250" spans="1:11" x14ac:dyDescent="0.25">
      <c r="A250" s="8" t="s">
        <v>274</v>
      </c>
      <c r="B250" s="8" t="s">
        <v>19</v>
      </c>
      <c r="C250" s="9" t="s">
        <v>20</v>
      </c>
      <c r="D250" s="8" t="s">
        <v>21</v>
      </c>
      <c r="E250" s="19">
        <v>45820</v>
      </c>
      <c r="F250" s="19">
        <v>45964</v>
      </c>
      <c r="G250" s="10">
        <v>250</v>
      </c>
      <c r="H250" s="11">
        <v>50000</v>
      </c>
      <c r="I250" s="11">
        <f t="shared" si="9"/>
        <v>12500000</v>
      </c>
      <c r="J250" s="6">
        <f t="shared" ca="1" si="11"/>
        <v>-358</v>
      </c>
      <c r="K250" s="8" t="str">
        <f t="shared" ca="1" si="10"/>
        <v>EXPIRED</v>
      </c>
    </row>
    <row r="251" spans="1:11" x14ac:dyDescent="0.25">
      <c r="A251" s="4" t="s">
        <v>275</v>
      </c>
      <c r="B251" s="4" t="s">
        <v>33</v>
      </c>
      <c r="C251" s="5" t="s">
        <v>34</v>
      </c>
      <c r="D251" s="4" t="s">
        <v>35</v>
      </c>
      <c r="E251" s="18">
        <v>45928</v>
      </c>
      <c r="F251" s="18">
        <v>46020</v>
      </c>
      <c r="G251" s="6">
        <v>1000</v>
      </c>
      <c r="H251" s="7">
        <v>55000</v>
      </c>
      <c r="I251" s="7">
        <f t="shared" si="9"/>
        <v>55000000</v>
      </c>
      <c r="J251" s="6">
        <f t="shared" ca="1" si="11"/>
        <v>-302</v>
      </c>
      <c r="K251" s="4" t="str">
        <f t="shared" ca="1" si="10"/>
        <v>EXPIRED</v>
      </c>
    </row>
    <row r="252" spans="1:11" x14ac:dyDescent="0.25">
      <c r="A252" s="8" t="s">
        <v>276</v>
      </c>
      <c r="B252" s="8" t="s">
        <v>8</v>
      </c>
      <c r="C252" s="9" t="s">
        <v>9</v>
      </c>
      <c r="D252" s="8" t="s">
        <v>10</v>
      </c>
      <c r="E252" s="19">
        <v>45815</v>
      </c>
      <c r="F252" s="19">
        <v>45950</v>
      </c>
      <c r="G252" s="10">
        <v>250</v>
      </c>
      <c r="H252" s="11">
        <v>38000</v>
      </c>
      <c r="I252" s="11">
        <f t="shared" si="9"/>
        <v>9500000</v>
      </c>
      <c r="J252" s="6">
        <f t="shared" ca="1" si="11"/>
        <v>-372</v>
      </c>
      <c r="K252" s="8" t="str">
        <f t="shared" ca="1" si="10"/>
        <v>EXPIRED</v>
      </c>
    </row>
    <row r="253" spans="1:11" x14ac:dyDescent="0.25">
      <c r="A253" s="4" t="s">
        <v>277</v>
      </c>
      <c r="B253" s="4" t="s">
        <v>8</v>
      </c>
      <c r="C253" s="5" t="s">
        <v>9</v>
      </c>
      <c r="D253" s="4" t="s">
        <v>10</v>
      </c>
      <c r="E253" s="18">
        <v>45866</v>
      </c>
      <c r="F253" s="18">
        <v>45942</v>
      </c>
      <c r="G253" s="6">
        <v>200</v>
      </c>
      <c r="H253" s="7">
        <v>36000</v>
      </c>
      <c r="I253" s="7">
        <f t="shared" si="9"/>
        <v>7200000</v>
      </c>
      <c r="J253" s="6">
        <f t="shared" ca="1" si="11"/>
        <v>-380</v>
      </c>
      <c r="K253" s="4" t="str">
        <f t="shared" ca="1" si="10"/>
        <v>EXPIRED</v>
      </c>
    </row>
    <row r="254" spans="1:11" x14ac:dyDescent="0.25">
      <c r="A254" s="8" t="s">
        <v>278</v>
      </c>
      <c r="B254" s="8" t="s">
        <v>53</v>
      </c>
      <c r="C254" s="9" t="s">
        <v>54</v>
      </c>
      <c r="D254" s="8" t="s">
        <v>35</v>
      </c>
      <c r="E254" s="19">
        <v>45907</v>
      </c>
      <c r="F254" s="19">
        <v>46168</v>
      </c>
      <c r="G254" s="10">
        <v>300</v>
      </c>
      <c r="H254" s="11">
        <v>58000</v>
      </c>
      <c r="I254" s="11">
        <f t="shared" si="9"/>
        <v>17400000</v>
      </c>
      <c r="J254" s="6">
        <f t="shared" ca="1" si="11"/>
        <v>-154</v>
      </c>
      <c r="K254" s="8" t="str">
        <f t="shared" ca="1" si="10"/>
        <v>EXPIRED</v>
      </c>
    </row>
    <row r="255" spans="1:11" x14ac:dyDescent="0.25">
      <c r="A255" s="4" t="s">
        <v>279</v>
      </c>
      <c r="B255" s="4" t="s">
        <v>53</v>
      </c>
      <c r="C255" s="5" t="s">
        <v>54</v>
      </c>
      <c r="D255" s="4" t="s">
        <v>35</v>
      </c>
      <c r="E255" s="18">
        <v>46096</v>
      </c>
      <c r="F255" s="18">
        <v>46244</v>
      </c>
      <c r="G255" s="6">
        <v>200</v>
      </c>
      <c r="H255" s="7">
        <v>58000</v>
      </c>
      <c r="I255" s="7">
        <f t="shared" si="9"/>
        <v>11600000</v>
      </c>
      <c r="J255" s="6">
        <f t="shared" ca="1" si="11"/>
        <v>-78</v>
      </c>
      <c r="K255" s="4" t="str">
        <f t="shared" ca="1" si="10"/>
        <v>EXPIRED</v>
      </c>
    </row>
    <row r="256" spans="1:11" x14ac:dyDescent="0.25">
      <c r="A256" s="8" t="s">
        <v>280</v>
      </c>
      <c r="B256" s="8" t="s">
        <v>8</v>
      </c>
      <c r="C256" s="9" t="s">
        <v>9</v>
      </c>
      <c r="D256" s="8" t="s">
        <v>10</v>
      </c>
      <c r="E256" s="19">
        <v>46044</v>
      </c>
      <c r="F256" s="19">
        <v>46147</v>
      </c>
      <c r="G256" s="10">
        <v>750</v>
      </c>
      <c r="H256" s="11">
        <v>36000</v>
      </c>
      <c r="I256" s="11">
        <f t="shared" si="9"/>
        <v>27000000</v>
      </c>
      <c r="J256" s="6">
        <f t="shared" ca="1" si="11"/>
        <v>-175</v>
      </c>
      <c r="K256" s="8" t="str">
        <f t="shared" ca="1" si="10"/>
        <v>EXPIRED</v>
      </c>
    </row>
    <row r="257" spans="1:11" x14ac:dyDescent="0.25">
      <c r="A257" s="4" t="s">
        <v>281</v>
      </c>
      <c r="B257" s="4" t="s">
        <v>53</v>
      </c>
      <c r="C257" s="5" t="s">
        <v>54</v>
      </c>
      <c r="D257" s="4" t="s">
        <v>35</v>
      </c>
      <c r="E257" s="18">
        <v>46070</v>
      </c>
      <c r="F257" s="18">
        <v>46599</v>
      </c>
      <c r="G257" s="6">
        <v>1000</v>
      </c>
      <c r="H257" s="7">
        <v>48000</v>
      </c>
      <c r="I257" s="7">
        <f t="shared" si="9"/>
        <v>48000000</v>
      </c>
      <c r="J257" s="6">
        <f t="shared" ca="1" si="11"/>
        <v>277</v>
      </c>
      <c r="K257" s="4" t="str">
        <f t="shared" ca="1" si="10"/>
        <v>SAFE</v>
      </c>
    </row>
    <row r="258" spans="1:11" x14ac:dyDescent="0.25">
      <c r="A258" s="8" t="s">
        <v>282</v>
      </c>
      <c r="B258" s="8" t="s">
        <v>33</v>
      </c>
      <c r="C258" s="9" t="s">
        <v>34</v>
      </c>
      <c r="D258" s="8" t="s">
        <v>35</v>
      </c>
      <c r="E258" s="19">
        <v>45823</v>
      </c>
      <c r="F258" s="19">
        <v>46170</v>
      </c>
      <c r="G258" s="10">
        <v>100</v>
      </c>
      <c r="H258" s="11">
        <v>60000</v>
      </c>
      <c r="I258" s="11">
        <f t="shared" si="9"/>
        <v>6000000</v>
      </c>
      <c r="J258" s="6">
        <f t="shared" ca="1" si="11"/>
        <v>-152</v>
      </c>
      <c r="K258" s="8" t="str">
        <f t="shared" ca="1" si="10"/>
        <v>EXPIRED</v>
      </c>
    </row>
    <row r="259" spans="1:11" x14ac:dyDescent="0.25">
      <c r="A259" s="4" t="s">
        <v>283</v>
      </c>
      <c r="B259" s="4" t="s">
        <v>29</v>
      </c>
      <c r="C259" s="5" t="s">
        <v>30</v>
      </c>
      <c r="D259" s="4" t="s">
        <v>10</v>
      </c>
      <c r="E259" s="18">
        <v>45820</v>
      </c>
      <c r="F259" s="18">
        <v>46541</v>
      </c>
      <c r="G259" s="6">
        <v>250</v>
      </c>
      <c r="H259" s="7">
        <v>28000</v>
      </c>
      <c r="I259" s="7">
        <f t="shared" si="9"/>
        <v>7000000</v>
      </c>
      <c r="J259" s="6">
        <f t="shared" ca="1" si="11"/>
        <v>219</v>
      </c>
      <c r="K259" s="4" t="str">
        <f t="shared" ca="1" si="10"/>
        <v>SAFE</v>
      </c>
    </row>
    <row r="260" spans="1:11" x14ac:dyDescent="0.25">
      <c r="A260" s="8" t="s">
        <v>284</v>
      </c>
      <c r="B260" s="8" t="s">
        <v>45</v>
      </c>
      <c r="C260" s="9" t="s">
        <v>46</v>
      </c>
      <c r="D260" s="8" t="s">
        <v>14</v>
      </c>
      <c r="E260" s="19">
        <v>45953</v>
      </c>
      <c r="F260" s="19">
        <v>46460</v>
      </c>
      <c r="G260" s="10">
        <v>500</v>
      </c>
      <c r="H260" s="11">
        <v>98000</v>
      </c>
      <c r="I260" s="11">
        <f t="shared" si="9"/>
        <v>49000000</v>
      </c>
      <c r="J260" s="6">
        <f t="shared" ca="1" si="11"/>
        <v>138</v>
      </c>
      <c r="K260" s="8" t="str">
        <f t="shared" ca="1" si="10"/>
        <v>WARNING</v>
      </c>
    </row>
    <row r="261" spans="1:11" x14ac:dyDescent="0.25">
      <c r="A261" s="4" t="s">
        <v>285</v>
      </c>
      <c r="B261" s="4" t="s">
        <v>25</v>
      </c>
      <c r="C261" s="5" t="s">
        <v>26</v>
      </c>
      <c r="D261" s="4" t="s">
        <v>27</v>
      </c>
      <c r="E261" s="18">
        <v>46007</v>
      </c>
      <c r="F261" s="18">
        <v>46363</v>
      </c>
      <c r="G261" s="6">
        <v>100</v>
      </c>
      <c r="H261" s="7">
        <v>64000</v>
      </c>
      <c r="I261" s="7">
        <f t="shared" ref="I261:I324" si="12">G261*H261</f>
        <v>6400000</v>
      </c>
      <c r="J261" s="6">
        <f t="shared" ca="1" si="11"/>
        <v>41</v>
      </c>
      <c r="K261" s="4" t="str">
        <f t="shared" ref="K261:K324" ca="1" si="13">IF(J261&lt;0, "EXPIRED", IF(J261&lt;=60, "CRITICAL", IF(J261&lt;=180, "WARNING", "SAFE")))</f>
        <v>CRITICAL</v>
      </c>
    </row>
    <row r="262" spans="1:11" x14ac:dyDescent="0.25">
      <c r="A262" s="8" t="s">
        <v>286</v>
      </c>
      <c r="B262" s="8" t="s">
        <v>8</v>
      </c>
      <c r="C262" s="9" t="s">
        <v>9</v>
      </c>
      <c r="D262" s="8" t="s">
        <v>10</v>
      </c>
      <c r="E262" s="19">
        <v>45854</v>
      </c>
      <c r="F262" s="19">
        <v>46503</v>
      </c>
      <c r="G262" s="10">
        <v>200</v>
      </c>
      <c r="H262" s="11">
        <v>32000</v>
      </c>
      <c r="I262" s="11">
        <f t="shared" si="12"/>
        <v>6400000</v>
      </c>
      <c r="J262" s="6">
        <f t="shared" ref="J262:J324" ca="1" si="14">F262-TODAY()</f>
        <v>181</v>
      </c>
      <c r="K262" s="8" t="str">
        <f t="shared" ca="1" si="13"/>
        <v>SAFE</v>
      </c>
    </row>
    <row r="263" spans="1:11" x14ac:dyDescent="0.25">
      <c r="A263" s="4" t="s">
        <v>287</v>
      </c>
      <c r="B263" s="4" t="s">
        <v>53</v>
      </c>
      <c r="C263" s="5" t="s">
        <v>54</v>
      </c>
      <c r="D263" s="4" t="s">
        <v>35</v>
      </c>
      <c r="E263" s="18">
        <v>46036</v>
      </c>
      <c r="F263" s="18">
        <v>46396</v>
      </c>
      <c r="G263" s="6">
        <v>250</v>
      </c>
      <c r="H263" s="7">
        <v>53000</v>
      </c>
      <c r="I263" s="7">
        <f t="shared" si="12"/>
        <v>13250000</v>
      </c>
      <c r="J263" s="6">
        <f t="shared" ca="1" si="14"/>
        <v>74</v>
      </c>
      <c r="K263" s="4" t="str">
        <f t="shared" ca="1" si="13"/>
        <v>WARNING</v>
      </c>
    </row>
    <row r="264" spans="1:11" x14ac:dyDescent="0.25">
      <c r="A264" s="8" t="s">
        <v>288</v>
      </c>
      <c r="B264" s="8" t="s">
        <v>12</v>
      </c>
      <c r="C264" s="9" t="s">
        <v>13</v>
      </c>
      <c r="D264" s="8" t="s">
        <v>14</v>
      </c>
      <c r="E264" s="19">
        <v>45925</v>
      </c>
      <c r="F264" s="19">
        <v>46642</v>
      </c>
      <c r="G264" s="10">
        <v>250</v>
      </c>
      <c r="H264" s="11">
        <v>32000</v>
      </c>
      <c r="I264" s="11">
        <f t="shared" si="12"/>
        <v>8000000</v>
      </c>
      <c r="J264" s="6">
        <f t="shared" ca="1" si="14"/>
        <v>320</v>
      </c>
      <c r="K264" s="8" t="str">
        <f t="shared" ca="1" si="13"/>
        <v>SAFE</v>
      </c>
    </row>
    <row r="265" spans="1:11" x14ac:dyDescent="0.25">
      <c r="A265" s="4" t="s">
        <v>289</v>
      </c>
      <c r="B265" s="4" t="s">
        <v>19</v>
      </c>
      <c r="C265" s="5" t="s">
        <v>20</v>
      </c>
      <c r="D265" s="4" t="s">
        <v>21</v>
      </c>
      <c r="E265" s="18">
        <v>45880</v>
      </c>
      <c r="F265" s="18">
        <v>46529</v>
      </c>
      <c r="G265" s="6">
        <v>250</v>
      </c>
      <c r="H265" s="7">
        <v>50000</v>
      </c>
      <c r="I265" s="7">
        <f t="shared" si="12"/>
        <v>12500000</v>
      </c>
      <c r="J265" s="6">
        <f t="shared" ca="1" si="14"/>
        <v>207</v>
      </c>
      <c r="K265" s="4" t="str">
        <f t="shared" ca="1" si="13"/>
        <v>SAFE</v>
      </c>
    </row>
    <row r="266" spans="1:11" x14ac:dyDescent="0.25">
      <c r="A266" s="8" t="s">
        <v>290</v>
      </c>
      <c r="B266" s="8" t="s">
        <v>12</v>
      </c>
      <c r="C266" s="9" t="s">
        <v>13</v>
      </c>
      <c r="D266" s="8" t="s">
        <v>14</v>
      </c>
      <c r="E266" s="19">
        <v>45840</v>
      </c>
      <c r="F266" s="19">
        <v>46574</v>
      </c>
      <c r="G266" s="10">
        <v>750</v>
      </c>
      <c r="H266" s="11">
        <v>33000</v>
      </c>
      <c r="I266" s="11">
        <f t="shared" si="12"/>
        <v>24750000</v>
      </c>
      <c r="J266" s="6">
        <f t="shared" ca="1" si="14"/>
        <v>252</v>
      </c>
      <c r="K266" s="8" t="str">
        <f t="shared" ca="1" si="13"/>
        <v>SAFE</v>
      </c>
    </row>
    <row r="267" spans="1:11" x14ac:dyDescent="0.25">
      <c r="A267" s="4" t="s">
        <v>291</v>
      </c>
      <c r="B267" s="4" t="s">
        <v>45</v>
      </c>
      <c r="C267" s="5" t="s">
        <v>46</v>
      </c>
      <c r="D267" s="4" t="s">
        <v>14</v>
      </c>
      <c r="E267" s="18">
        <v>46075</v>
      </c>
      <c r="F267" s="18">
        <v>46353</v>
      </c>
      <c r="G267" s="6">
        <v>200</v>
      </c>
      <c r="H267" s="7">
        <v>96000</v>
      </c>
      <c r="I267" s="7">
        <f t="shared" si="12"/>
        <v>19200000</v>
      </c>
      <c r="J267" s="6">
        <f t="shared" ca="1" si="14"/>
        <v>31</v>
      </c>
      <c r="K267" s="4" t="str">
        <f t="shared" ca="1" si="13"/>
        <v>CRITICAL</v>
      </c>
    </row>
    <row r="268" spans="1:11" x14ac:dyDescent="0.25">
      <c r="A268" s="8" t="s">
        <v>292</v>
      </c>
      <c r="B268" s="8" t="s">
        <v>45</v>
      </c>
      <c r="C268" s="9" t="s">
        <v>46</v>
      </c>
      <c r="D268" s="8" t="s">
        <v>14</v>
      </c>
      <c r="E268" s="19">
        <v>45854</v>
      </c>
      <c r="F268" s="19">
        <v>46734</v>
      </c>
      <c r="G268" s="10">
        <v>250</v>
      </c>
      <c r="H268" s="11">
        <v>96000</v>
      </c>
      <c r="I268" s="11">
        <f t="shared" si="12"/>
        <v>24000000</v>
      </c>
      <c r="J268" s="6">
        <f t="shared" ca="1" si="14"/>
        <v>412</v>
      </c>
      <c r="K268" s="8" t="str">
        <f t="shared" ca="1" si="13"/>
        <v>SAFE</v>
      </c>
    </row>
    <row r="269" spans="1:11" x14ac:dyDescent="0.25">
      <c r="A269" s="4" t="s">
        <v>293</v>
      </c>
      <c r="B269" s="4" t="s">
        <v>53</v>
      </c>
      <c r="C269" s="5" t="s">
        <v>54</v>
      </c>
      <c r="D269" s="4" t="s">
        <v>35</v>
      </c>
      <c r="E269" s="18">
        <v>45969</v>
      </c>
      <c r="F269" s="18">
        <v>46331</v>
      </c>
      <c r="G269" s="6">
        <v>250</v>
      </c>
      <c r="H269" s="7">
        <v>49000</v>
      </c>
      <c r="I269" s="7">
        <f t="shared" si="12"/>
        <v>12250000</v>
      </c>
      <c r="J269" s="6">
        <f t="shared" ca="1" si="14"/>
        <v>9</v>
      </c>
      <c r="K269" s="4" t="str">
        <f t="shared" ca="1" si="13"/>
        <v>CRITICAL</v>
      </c>
    </row>
    <row r="270" spans="1:11" x14ac:dyDescent="0.25">
      <c r="A270" s="8" t="s">
        <v>294</v>
      </c>
      <c r="B270" s="8" t="s">
        <v>19</v>
      </c>
      <c r="C270" s="9" t="s">
        <v>20</v>
      </c>
      <c r="D270" s="8" t="s">
        <v>21</v>
      </c>
      <c r="E270" s="19">
        <v>46097</v>
      </c>
      <c r="F270" s="19">
        <v>46651</v>
      </c>
      <c r="G270" s="10">
        <v>100</v>
      </c>
      <c r="H270" s="11">
        <v>48000</v>
      </c>
      <c r="I270" s="11">
        <f t="shared" si="12"/>
        <v>4800000</v>
      </c>
      <c r="J270" s="6">
        <f t="shared" ca="1" si="14"/>
        <v>329</v>
      </c>
      <c r="K270" s="8" t="str">
        <f t="shared" ca="1" si="13"/>
        <v>SAFE</v>
      </c>
    </row>
    <row r="271" spans="1:11" x14ac:dyDescent="0.25">
      <c r="A271" s="4" t="s">
        <v>295</v>
      </c>
      <c r="B271" s="4" t="s">
        <v>33</v>
      </c>
      <c r="C271" s="5" t="s">
        <v>34</v>
      </c>
      <c r="D271" s="4" t="s">
        <v>35</v>
      </c>
      <c r="E271" s="18">
        <v>45911</v>
      </c>
      <c r="F271" s="18">
        <v>46417</v>
      </c>
      <c r="G271" s="6">
        <v>200</v>
      </c>
      <c r="H271" s="7">
        <v>61000</v>
      </c>
      <c r="I271" s="7">
        <f t="shared" si="12"/>
        <v>12200000</v>
      </c>
      <c r="J271" s="6">
        <f t="shared" ca="1" si="14"/>
        <v>95</v>
      </c>
      <c r="K271" s="4" t="str">
        <f t="shared" ca="1" si="13"/>
        <v>WARNING</v>
      </c>
    </row>
    <row r="272" spans="1:11" x14ac:dyDescent="0.25">
      <c r="A272" s="8" t="s">
        <v>296</v>
      </c>
      <c r="B272" s="8" t="s">
        <v>25</v>
      </c>
      <c r="C272" s="9" t="s">
        <v>26</v>
      </c>
      <c r="D272" s="8" t="s">
        <v>27</v>
      </c>
      <c r="E272" s="19">
        <v>45951</v>
      </c>
      <c r="F272" s="19">
        <v>46503</v>
      </c>
      <c r="G272" s="10">
        <v>300</v>
      </c>
      <c r="H272" s="11">
        <v>62000</v>
      </c>
      <c r="I272" s="11">
        <f t="shared" si="12"/>
        <v>18600000</v>
      </c>
      <c r="J272" s="6">
        <f t="shared" ca="1" si="14"/>
        <v>181</v>
      </c>
      <c r="K272" s="8" t="str">
        <f t="shared" ca="1" si="13"/>
        <v>SAFE</v>
      </c>
    </row>
    <row r="273" spans="1:11" x14ac:dyDescent="0.25">
      <c r="A273" s="4" t="s">
        <v>297</v>
      </c>
      <c r="B273" s="4" t="s">
        <v>8</v>
      </c>
      <c r="C273" s="5" t="s">
        <v>9</v>
      </c>
      <c r="D273" s="4" t="s">
        <v>10</v>
      </c>
      <c r="E273" s="18">
        <v>45931</v>
      </c>
      <c r="F273" s="18">
        <v>46741</v>
      </c>
      <c r="G273" s="6">
        <v>300</v>
      </c>
      <c r="H273" s="7">
        <v>38000</v>
      </c>
      <c r="I273" s="7">
        <f t="shared" si="12"/>
        <v>11400000</v>
      </c>
      <c r="J273" s="6">
        <f t="shared" ca="1" si="14"/>
        <v>419</v>
      </c>
      <c r="K273" s="4" t="str">
        <f t="shared" ca="1" si="13"/>
        <v>SAFE</v>
      </c>
    </row>
    <row r="274" spans="1:11" x14ac:dyDescent="0.25">
      <c r="A274" s="8" t="s">
        <v>298</v>
      </c>
      <c r="B274" s="8" t="s">
        <v>45</v>
      </c>
      <c r="C274" s="9" t="s">
        <v>46</v>
      </c>
      <c r="D274" s="8" t="s">
        <v>14</v>
      </c>
      <c r="E274" s="19">
        <v>46012</v>
      </c>
      <c r="F274" s="19">
        <v>46554</v>
      </c>
      <c r="G274" s="10">
        <v>300</v>
      </c>
      <c r="H274" s="11">
        <v>88000</v>
      </c>
      <c r="I274" s="11">
        <f t="shared" si="12"/>
        <v>26400000</v>
      </c>
      <c r="J274" s="6">
        <f t="shared" ca="1" si="14"/>
        <v>232</v>
      </c>
      <c r="K274" s="8" t="str">
        <f t="shared" ca="1" si="13"/>
        <v>SAFE</v>
      </c>
    </row>
    <row r="275" spans="1:11" x14ac:dyDescent="0.25">
      <c r="A275" s="4" t="s">
        <v>299</v>
      </c>
      <c r="B275" s="4" t="s">
        <v>4</v>
      </c>
      <c r="C275" s="5" t="s">
        <v>5</v>
      </c>
      <c r="D275" s="4" t="s">
        <v>6</v>
      </c>
      <c r="E275" s="18">
        <v>45892</v>
      </c>
      <c r="F275" s="18">
        <v>46607</v>
      </c>
      <c r="G275" s="6">
        <v>500</v>
      </c>
      <c r="H275" s="7">
        <v>84000</v>
      </c>
      <c r="I275" s="7">
        <f t="shared" si="12"/>
        <v>42000000</v>
      </c>
      <c r="J275" s="6">
        <f t="shared" ca="1" si="14"/>
        <v>285</v>
      </c>
      <c r="K275" s="4" t="str">
        <f t="shared" ca="1" si="13"/>
        <v>SAFE</v>
      </c>
    </row>
    <row r="276" spans="1:11" x14ac:dyDescent="0.25">
      <c r="A276" s="8" t="s">
        <v>300</v>
      </c>
      <c r="B276" s="8" t="s">
        <v>8</v>
      </c>
      <c r="C276" s="9" t="s">
        <v>9</v>
      </c>
      <c r="D276" s="8" t="s">
        <v>10</v>
      </c>
      <c r="E276" s="19">
        <v>45935</v>
      </c>
      <c r="F276" s="19">
        <v>46654</v>
      </c>
      <c r="G276" s="10">
        <v>250</v>
      </c>
      <c r="H276" s="11">
        <v>33000</v>
      </c>
      <c r="I276" s="11">
        <f t="shared" si="12"/>
        <v>8250000</v>
      </c>
      <c r="J276" s="6">
        <f t="shared" ca="1" si="14"/>
        <v>332</v>
      </c>
      <c r="K276" s="8" t="str">
        <f t="shared" ca="1" si="13"/>
        <v>SAFE</v>
      </c>
    </row>
    <row r="277" spans="1:11" x14ac:dyDescent="0.25">
      <c r="A277" s="4" t="s">
        <v>301</v>
      </c>
      <c r="B277" s="4" t="s">
        <v>12</v>
      </c>
      <c r="C277" s="5" t="s">
        <v>13</v>
      </c>
      <c r="D277" s="4" t="s">
        <v>14</v>
      </c>
      <c r="E277" s="18">
        <v>45820</v>
      </c>
      <c r="F277" s="18">
        <v>46727</v>
      </c>
      <c r="G277" s="6">
        <v>250</v>
      </c>
      <c r="H277" s="7">
        <v>30000</v>
      </c>
      <c r="I277" s="7">
        <f t="shared" si="12"/>
        <v>7500000</v>
      </c>
      <c r="J277" s="6">
        <f t="shared" ca="1" si="14"/>
        <v>405</v>
      </c>
      <c r="K277" s="4" t="str">
        <f t="shared" ca="1" si="13"/>
        <v>SAFE</v>
      </c>
    </row>
    <row r="278" spans="1:11" x14ac:dyDescent="0.25">
      <c r="A278" s="8" t="s">
        <v>302</v>
      </c>
      <c r="B278" s="8" t="s">
        <v>33</v>
      </c>
      <c r="C278" s="9" t="s">
        <v>34</v>
      </c>
      <c r="D278" s="8" t="s">
        <v>35</v>
      </c>
      <c r="E278" s="19">
        <v>45955</v>
      </c>
      <c r="F278" s="19">
        <v>46663</v>
      </c>
      <c r="G278" s="10">
        <v>500</v>
      </c>
      <c r="H278" s="11">
        <v>58000</v>
      </c>
      <c r="I278" s="11">
        <f t="shared" si="12"/>
        <v>29000000</v>
      </c>
      <c r="J278" s="6">
        <f t="shared" ca="1" si="14"/>
        <v>341</v>
      </c>
      <c r="K278" s="8" t="str">
        <f t="shared" ca="1" si="13"/>
        <v>SAFE</v>
      </c>
    </row>
    <row r="279" spans="1:11" x14ac:dyDescent="0.25">
      <c r="A279" s="4" t="s">
        <v>303</v>
      </c>
      <c r="B279" s="4" t="s">
        <v>16</v>
      </c>
      <c r="C279" s="5" t="s">
        <v>17</v>
      </c>
      <c r="D279" s="4" t="s">
        <v>6</v>
      </c>
      <c r="E279" s="18">
        <v>45991</v>
      </c>
      <c r="F279" s="18">
        <v>46442</v>
      </c>
      <c r="G279" s="6">
        <v>300</v>
      </c>
      <c r="H279" s="7">
        <v>61000</v>
      </c>
      <c r="I279" s="7">
        <f t="shared" si="12"/>
        <v>18300000</v>
      </c>
      <c r="J279" s="6">
        <f t="shared" ca="1" si="14"/>
        <v>120</v>
      </c>
      <c r="K279" s="4" t="str">
        <f t="shared" ca="1" si="13"/>
        <v>WARNING</v>
      </c>
    </row>
    <row r="280" spans="1:11" x14ac:dyDescent="0.25">
      <c r="A280" s="8" t="s">
        <v>304</v>
      </c>
      <c r="B280" s="8" t="s">
        <v>8</v>
      </c>
      <c r="C280" s="9" t="s">
        <v>9</v>
      </c>
      <c r="D280" s="8" t="s">
        <v>10</v>
      </c>
      <c r="E280" s="19">
        <v>45958</v>
      </c>
      <c r="F280" s="19">
        <v>46601</v>
      </c>
      <c r="G280" s="10">
        <v>1000</v>
      </c>
      <c r="H280" s="11">
        <v>34000</v>
      </c>
      <c r="I280" s="11">
        <f t="shared" si="12"/>
        <v>34000000</v>
      </c>
      <c r="J280" s="6">
        <f t="shared" ca="1" si="14"/>
        <v>279</v>
      </c>
      <c r="K280" s="8" t="str">
        <f t="shared" ca="1" si="13"/>
        <v>SAFE</v>
      </c>
    </row>
    <row r="281" spans="1:11" x14ac:dyDescent="0.25">
      <c r="A281" s="4" t="s">
        <v>305</v>
      </c>
      <c r="B281" s="4" t="s">
        <v>33</v>
      </c>
      <c r="C281" s="5" t="s">
        <v>34</v>
      </c>
      <c r="D281" s="4" t="s">
        <v>35</v>
      </c>
      <c r="E281" s="18">
        <v>46051</v>
      </c>
      <c r="F281" s="18">
        <v>46424</v>
      </c>
      <c r="G281" s="6">
        <v>250</v>
      </c>
      <c r="H281" s="7">
        <v>52000</v>
      </c>
      <c r="I281" s="7">
        <f t="shared" si="12"/>
        <v>13000000</v>
      </c>
      <c r="J281" s="6">
        <f t="shared" ca="1" si="14"/>
        <v>102</v>
      </c>
      <c r="K281" s="4" t="str">
        <f t="shared" ca="1" si="13"/>
        <v>WARNING</v>
      </c>
    </row>
    <row r="282" spans="1:11" x14ac:dyDescent="0.25">
      <c r="A282" s="8" t="s">
        <v>306</v>
      </c>
      <c r="B282" s="8" t="s">
        <v>4</v>
      </c>
      <c r="C282" s="9" t="s">
        <v>5</v>
      </c>
      <c r="D282" s="8" t="s">
        <v>6</v>
      </c>
      <c r="E282" s="19">
        <v>46021</v>
      </c>
      <c r="F282" s="19">
        <v>46394</v>
      </c>
      <c r="G282" s="10">
        <v>500</v>
      </c>
      <c r="H282" s="11">
        <v>79000</v>
      </c>
      <c r="I282" s="11">
        <f t="shared" si="12"/>
        <v>39500000</v>
      </c>
      <c r="J282" s="6">
        <f t="shared" ca="1" si="14"/>
        <v>72</v>
      </c>
      <c r="K282" s="8" t="str">
        <f t="shared" ca="1" si="13"/>
        <v>WARNING</v>
      </c>
    </row>
    <row r="283" spans="1:11" x14ac:dyDescent="0.25">
      <c r="A283" s="4" t="s">
        <v>307</v>
      </c>
      <c r="B283" s="4" t="s">
        <v>53</v>
      </c>
      <c r="C283" s="5" t="s">
        <v>54</v>
      </c>
      <c r="D283" s="4" t="s">
        <v>35</v>
      </c>
      <c r="E283" s="18">
        <v>46028</v>
      </c>
      <c r="F283" s="18">
        <v>46302</v>
      </c>
      <c r="G283" s="6">
        <v>300</v>
      </c>
      <c r="H283" s="7">
        <v>49000</v>
      </c>
      <c r="I283" s="7">
        <f t="shared" si="12"/>
        <v>14700000</v>
      </c>
      <c r="J283" s="6">
        <f t="shared" ca="1" si="14"/>
        <v>-20</v>
      </c>
      <c r="K283" s="4" t="str">
        <f t="shared" ca="1" si="13"/>
        <v>EXPIRED</v>
      </c>
    </row>
    <row r="284" spans="1:11" x14ac:dyDescent="0.25">
      <c r="A284" s="8" t="s">
        <v>308</v>
      </c>
      <c r="B284" s="8" t="s">
        <v>19</v>
      </c>
      <c r="C284" s="9" t="s">
        <v>20</v>
      </c>
      <c r="D284" s="8" t="s">
        <v>21</v>
      </c>
      <c r="E284" s="19">
        <v>45904</v>
      </c>
      <c r="F284" s="19">
        <v>46639</v>
      </c>
      <c r="G284" s="10">
        <v>500</v>
      </c>
      <c r="H284" s="11">
        <v>52000</v>
      </c>
      <c r="I284" s="11">
        <f t="shared" si="12"/>
        <v>26000000</v>
      </c>
      <c r="J284" s="6">
        <f t="shared" ca="1" si="14"/>
        <v>317</v>
      </c>
      <c r="K284" s="8" t="str">
        <f t="shared" ca="1" si="13"/>
        <v>SAFE</v>
      </c>
    </row>
    <row r="285" spans="1:11" x14ac:dyDescent="0.25">
      <c r="A285" s="4" t="s">
        <v>309</v>
      </c>
      <c r="B285" s="4" t="s">
        <v>53</v>
      </c>
      <c r="C285" s="5" t="s">
        <v>54</v>
      </c>
      <c r="D285" s="4" t="s">
        <v>35</v>
      </c>
      <c r="E285" s="18">
        <v>45874</v>
      </c>
      <c r="F285" s="18">
        <v>46587</v>
      </c>
      <c r="G285" s="6">
        <v>250</v>
      </c>
      <c r="H285" s="7">
        <v>57000</v>
      </c>
      <c r="I285" s="7">
        <f t="shared" si="12"/>
        <v>14250000</v>
      </c>
      <c r="J285" s="6">
        <f t="shared" ca="1" si="14"/>
        <v>265</v>
      </c>
      <c r="K285" s="4" t="str">
        <f t="shared" ca="1" si="13"/>
        <v>SAFE</v>
      </c>
    </row>
    <row r="286" spans="1:11" x14ac:dyDescent="0.25">
      <c r="A286" s="8" t="s">
        <v>310</v>
      </c>
      <c r="B286" s="8" t="s">
        <v>8</v>
      </c>
      <c r="C286" s="9" t="s">
        <v>9</v>
      </c>
      <c r="D286" s="8" t="s">
        <v>10</v>
      </c>
      <c r="E286" s="19">
        <v>45994</v>
      </c>
      <c r="F286" s="19">
        <v>46710</v>
      </c>
      <c r="G286" s="10">
        <v>250</v>
      </c>
      <c r="H286" s="11">
        <v>33000</v>
      </c>
      <c r="I286" s="11">
        <f t="shared" si="12"/>
        <v>8250000</v>
      </c>
      <c r="J286" s="6">
        <f t="shared" ca="1" si="14"/>
        <v>388</v>
      </c>
      <c r="K286" s="8" t="str">
        <f t="shared" ca="1" si="13"/>
        <v>SAFE</v>
      </c>
    </row>
    <row r="287" spans="1:11" x14ac:dyDescent="0.25">
      <c r="A287" s="4" t="s">
        <v>311</v>
      </c>
      <c r="B287" s="4" t="s">
        <v>29</v>
      </c>
      <c r="C287" s="5" t="s">
        <v>30</v>
      </c>
      <c r="D287" s="4" t="s">
        <v>10</v>
      </c>
      <c r="E287" s="18">
        <v>45829</v>
      </c>
      <c r="F287" s="18">
        <v>46541</v>
      </c>
      <c r="G287" s="6">
        <v>500</v>
      </c>
      <c r="H287" s="7">
        <v>28000</v>
      </c>
      <c r="I287" s="7">
        <f t="shared" si="12"/>
        <v>14000000</v>
      </c>
      <c r="J287" s="6">
        <f t="shared" ca="1" si="14"/>
        <v>219</v>
      </c>
      <c r="K287" s="4" t="str">
        <f t="shared" ca="1" si="13"/>
        <v>SAFE</v>
      </c>
    </row>
    <row r="288" spans="1:11" x14ac:dyDescent="0.25">
      <c r="A288" s="8" t="s">
        <v>312</v>
      </c>
      <c r="B288" s="8" t="s">
        <v>4</v>
      </c>
      <c r="C288" s="9" t="s">
        <v>5</v>
      </c>
      <c r="D288" s="8" t="s">
        <v>6</v>
      </c>
      <c r="E288" s="19">
        <v>46106</v>
      </c>
      <c r="F288" s="19">
        <v>46649</v>
      </c>
      <c r="G288" s="10">
        <v>300</v>
      </c>
      <c r="H288" s="11">
        <v>79000</v>
      </c>
      <c r="I288" s="11">
        <f t="shared" si="12"/>
        <v>23700000</v>
      </c>
      <c r="J288" s="6">
        <f t="shared" ca="1" si="14"/>
        <v>327</v>
      </c>
      <c r="K288" s="8" t="str">
        <f t="shared" ca="1" si="13"/>
        <v>SAFE</v>
      </c>
    </row>
    <row r="289" spans="1:11" x14ac:dyDescent="0.25">
      <c r="A289" s="4" t="s">
        <v>313</v>
      </c>
      <c r="B289" s="4" t="s">
        <v>16</v>
      </c>
      <c r="C289" s="5" t="s">
        <v>17</v>
      </c>
      <c r="D289" s="4" t="s">
        <v>6</v>
      </c>
      <c r="E289" s="18">
        <v>45849</v>
      </c>
      <c r="F289" s="18">
        <v>46406</v>
      </c>
      <c r="G289" s="6">
        <v>250</v>
      </c>
      <c r="H289" s="7">
        <v>67000</v>
      </c>
      <c r="I289" s="7">
        <f t="shared" si="12"/>
        <v>16750000</v>
      </c>
      <c r="J289" s="6">
        <f t="shared" ca="1" si="14"/>
        <v>84</v>
      </c>
      <c r="K289" s="4" t="str">
        <f t="shared" ca="1" si="13"/>
        <v>WARNING</v>
      </c>
    </row>
    <row r="290" spans="1:11" x14ac:dyDescent="0.25">
      <c r="A290" s="8" t="s">
        <v>314</v>
      </c>
      <c r="B290" s="8" t="s">
        <v>4</v>
      </c>
      <c r="C290" s="9" t="s">
        <v>5</v>
      </c>
      <c r="D290" s="8" t="s">
        <v>6</v>
      </c>
      <c r="E290" s="19">
        <v>45892</v>
      </c>
      <c r="F290" s="19">
        <v>46607</v>
      </c>
      <c r="G290" s="10">
        <v>300</v>
      </c>
      <c r="H290" s="11">
        <v>83000</v>
      </c>
      <c r="I290" s="11">
        <f t="shared" si="12"/>
        <v>24900000</v>
      </c>
      <c r="J290" s="6">
        <f t="shared" ca="1" si="14"/>
        <v>285</v>
      </c>
      <c r="K290" s="8" t="str">
        <f t="shared" ca="1" si="13"/>
        <v>SAFE</v>
      </c>
    </row>
    <row r="291" spans="1:11" x14ac:dyDescent="0.25">
      <c r="A291" s="4" t="s">
        <v>315</v>
      </c>
      <c r="B291" s="4" t="s">
        <v>45</v>
      </c>
      <c r="C291" s="5" t="s">
        <v>46</v>
      </c>
      <c r="D291" s="4" t="s">
        <v>14</v>
      </c>
      <c r="E291" s="18">
        <v>45836</v>
      </c>
      <c r="F291" s="18">
        <v>46370</v>
      </c>
      <c r="G291" s="6">
        <v>100</v>
      </c>
      <c r="H291" s="7">
        <v>85000</v>
      </c>
      <c r="I291" s="7">
        <f t="shared" si="12"/>
        <v>8500000</v>
      </c>
      <c r="J291" s="6">
        <f t="shared" ca="1" si="14"/>
        <v>48</v>
      </c>
      <c r="K291" s="4" t="str">
        <f t="shared" ca="1" si="13"/>
        <v>CRITICAL</v>
      </c>
    </row>
    <row r="292" spans="1:11" x14ac:dyDescent="0.25">
      <c r="A292" s="8" t="s">
        <v>316</v>
      </c>
      <c r="B292" s="8" t="s">
        <v>29</v>
      </c>
      <c r="C292" s="9" t="s">
        <v>30</v>
      </c>
      <c r="D292" s="8" t="s">
        <v>10</v>
      </c>
      <c r="E292" s="19">
        <v>45972</v>
      </c>
      <c r="F292" s="19">
        <v>46691</v>
      </c>
      <c r="G292" s="10">
        <v>200</v>
      </c>
      <c r="H292" s="11">
        <v>26000</v>
      </c>
      <c r="I292" s="11">
        <f t="shared" si="12"/>
        <v>5200000</v>
      </c>
      <c r="J292" s="6">
        <f t="shared" ca="1" si="14"/>
        <v>369</v>
      </c>
      <c r="K292" s="8" t="str">
        <f t="shared" ca="1" si="13"/>
        <v>SAFE</v>
      </c>
    </row>
    <row r="293" spans="1:11" x14ac:dyDescent="0.25">
      <c r="A293" s="4" t="s">
        <v>317</v>
      </c>
      <c r="B293" s="4" t="s">
        <v>8</v>
      </c>
      <c r="C293" s="5" t="s">
        <v>9</v>
      </c>
      <c r="D293" s="4" t="s">
        <v>10</v>
      </c>
      <c r="E293" s="18">
        <v>45926</v>
      </c>
      <c r="F293" s="18">
        <v>46465</v>
      </c>
      <c r="G293" s="6">
        <v>250</v>
      </c>
      <c r="H293" s="7">
        <v>35000</v>
      </c>
      <c r="I293" s="7">
        <f t="shared" si="12"/>
        <v>8750000</v>
      </c>
      <c r="J293" s="6">
        <f t="shared" ca="1" si="14"/>
        <v>143</v>
      </c>
      <c r="K293" s="4" t="str">
        <f t="shared" ca="1" si="13"/>
        <v>WARNING</v>
      </c>
    </row>
    <row r="294" spans="1:11" x14ac:dyDescent="0.25">
      <c r="A294" s="8" t="s">
        <v>318</v>
      </c>
      <c r="B294" s="8" t="s">
        <v>45</v>
      </c>
      <c r="C294" s="9" t="s">
        <v>46</v>
      </c>
      <c r="D294" s="8" t="s">
        <v>14</v>
      </c>
      <c r="E294" s="19">
        <v>46065</v>
      </c>
      <c r="F294" s="19">
        <v>46327</v>
      </c>
      <c r="G294" s="10">
        <v>300</v>
      </c>
      <c r="H294" s="11">
        <v>85000</v>
      </c>
      <c r="I294" s="11">
        <f t="shared" si="12"/>
        <v>25500000</v>
      </c>
      <c r="J294" s="6">
        <f t="shared" ca="1" si="14"/>
        <v>5</v>
      </c>
      <c r="K294" s="8" t="str">
        <f t="shared" ca="1" si="13"/>
        <v>CRITICAL</v>
      </c>
    </row>
    <row r="295" spans="1:11" x14ac:dyDescent="0.25">
      <c r="A295" s="4" t="s">
        <v>319</v>
      </c>
      <c r="B295" s="4" t="s">
        <v>45</v>
      </c>
      <c r="C295" s="5" t="s">
        <v>46</v>
      </c>
      <c r="D295" s="4" t="s">
        <v>14</v>
      </c>
      <c r="E295" s="18">
        <v>45872</v>
      </c>
      <c r="F295" s="18">
        <v>46519</v>
      </c>
      <c r="G295" s="6">
        <v>100</v>
      </c>
      <c r="H295" s="7">
        <v>89000</v>
      </c>
      <c r="I295" s="7">
        <f t="shared" si="12"/>
        <v>8900000</v>
      </c>
      <c r="J295" s="6">
        <f t="shared" ca="1" si="14"/>
        <v>197</v>
      </c>
      <c r="K295" s="4" t="str">
        <f t="shared" ca="1" si="13"/>
        <v>SAFE</v>
      </c>
    </row>
    <row r="296" spans="1:11" x14ac:dyDescent="0.25">
      <c r="A296" s="8" t="s">
        <v>320</v>
      </c>
      <c r="B296" s="8" t="s">
        <v>16</v>
      </c>
      <c r="C296" s="9" t="s">
        <v>17</v>
      </c>
      <c r="D296" s="8" t="s">
        <v>6</v>
      </c>
      <c r="E296" s="19">
        <v>46012</v>
      </c>
      <c r="F296" s="19">
        <v>46648</v>
      </c>
      <c r="G296" s="10">
        <v>500</v>
      </c>
      <c r="H296" s="11">
        <v>67000</v>
      </c>
      <c r="I296" s="11">
        <f t="shared" si="12"/>
        <v>33500000</v>
      </c>
      <c r="J296" s="6">
        <f t="shared" ca="1" si="14"/>
        <v>326</v>
      </c>
      <c r="K296" s="8" t="str">
        <f t="shared" ca="1" si="13"/>
        <v>SAFE</v>
      </c>
    </row>
    <row r="297" spans="1:11" x14ac:dyDescent="0.25">
      <c r="A297" s="4" t="s">
        <v>321</v>
      </c>
      <c r="B297" s="4" t="s">
        <v>12</v>
      </c>
      <c r="C297" s="5" t="s">
        <v>13</v>
      </c>
      <c r="D297" s="4" t="s">
        <v>14</v>
      </c>
      <c r="E297" s="18">
        <v>45916</v>
      </c>
      <c r="F297" s="18">
        <v>46645</v>
      </c>
      <c r="G297" s="6">
        <v>200</v>
      </c>
      <c r="H297" s="7">
        <v>29000</v>
      </c>
      <c r="I297" s="7">
        <f t="shared" si="12"/>
        <v>5800000</v>
      </c>
      <c r="J297" s="6">
        <f t="shared" ca="1" si="14"/>
        <v>323</v>
      </c>
      <c r="K297" s="4" t="str">
        <f t="shared" ca="1" si="13"/>
        <v>SAFE</v>
      </c>
    </row>
    <row r="298" spans="1:11" x14ac:dyDescent="0.25">
      <c r="A298" s="8" t="s">
        <v>322</v>
      </c>
      <c r="B298" s="8" t="s">
        <v>45</v>
      </c>
      <c r="C298" s="9" t="s">
        <v>46</v>
      </c>
      <c r="D298" s="8" t="s">
        <v>14</v>
      </c>
      <c r="E298" s="19">
        <v>46101</v>
      </c>
      <c r="F298" s="19">
        <v>46834</v>
      </c>
      <c r="G298" s="10">
        <v>300</v>
      </c>
      <c r="H298" s="11">
        <v>87000</v>
      </c>
      <c r="I298" s="11">
        <f t="shared" si="12"/>
        <v>26100000</v>
      </c>
      <c r="J298" s="6">
        <f t="shared" ca="1" si="14"/>
        <v>512</v>
      </c>
      <c r="K298" s="8" t="str">
        <f t="shared" ca="1" si="13"/>
        <v>SAFE</v>
      </c>
    </row>
    <row r="299" spans="1:11" x14ac:dyDescent="0.25">
      <c r="A299" s="4" t="s">
        <v>323</v>
      </c>
      <c r="B299" s="4" t="s">
        <v>12</v>
      </c>
      <c r="C299" s="5" t="s">
        <v>13</v>
      </c>
      <c r="D299" s="4" t="s">
        <v>14</v>
      </c>
      <c r="E299" s="18">
        <v>46053</v>
      </c>
      <c r="F299" s="18">
        <v>46553</v>
      </c>
      <c r="G299" s="6">
        <v>300</v>
      </c>
      <c r="H299" s="7">
        <v>33000</v>
      </c>
      <c r="I299" s="7">
        <f t="shared" si="12"/>
        <v>9900000</v>
      </c>
      <c r="J299" s="6">
        <f t="shared" ca="1" si="14"/>
        <v>231</v>
      </c>
      <c r="K299" s="4" t="str">
        <f t="shared" ca="1" si="13"/>
        <v>SAFE</v>
      </c>
    </row>
    <row r="300" spans="1:11" x14ac:dyDescent="0.25">
      <c r="A300" s="8" t="s">
        <v>324</v>
      </c>
      <c r="B300" s="8" t="s">
        <v>33</v>
      </c>
      <c r="C300" s="9" t="s">
        <v>34</v>
      </c>
      <c r="D300" s="8" t="s">
        <v>35</v>
      </c>
      <c r="E300" s="19">
        <v>46084</v>
      </c>
      <c r="F300" s="19">
        <v>46812</v>
      </c>
      <c r="G300" s="10">
        <v>300</v>
      </c>
      <c r="H300" s="11">
        <v>53000</v>
      </c>
      <c r="I300" s="11">
        <f t="shared" si="12"/>
        <v>15900000</v>
      </c>
      <c r="J300" s="6">
        <f t="shared" ca="1" si="14"/>
        <v>490</v>
      </c>
      <c r="K300" s="8" t="str">
        <f t="shared" ca="1" si="13"/>
        <v>SAFE</v>
      </c>
    </row>
    <row r="301" spans="1:11" x14ac:dyDescent="0.25">
      <c r="A301" s="4" t="s">
        <v>325</v>
      </c>
      <c r="B301" s="4" t="s">
        <v>45</v>
      </c>
      <c r="C301" s="5" t="s">
        <v>46</v>
      </c>
      <c r="D301" s="4" t="s">
        <v>14</v>
      </c>
      <c r="E301" s="18">
        <v>46093</v>
      </c>
      <c r="F301" s="18">
        <v>46641</v>
      </c>
      <c r="G301" s="6">
        <v>300</v>
      </c>
      <c r="H301" s="7">
        <v>86000</v>
      </c>
      <c r="I301" s="7">
        <f t="shared" si="12"/>
        <v>25800000</v>
      </c>
      <c r="J301" s="6">
        <f t="shared" ca="1" si="14"/>
        <v>319</v>
      </c>
      <c r="K301" s="4" t="str">
        <f t="shared" ca="1" si="13"/>
        <v>SAFE</v>
      </c>
    </row>
    <row r="302" spans="1:11" x14ac:dyDescent="0.25">
      <c r="A302" s="8" t="s">
        <v>326</v>
      </c>
      <c r="B302" s="8" t="s">
        <v>4</v>
      </c>
      <c r="C302" s="9" t="s">
        <v>5</v>
      </c>
      <c r="D302" s="8" t="s">
        <v>6</v>
      </c>
      <c r="E302" s="19">
        <v>46102</v>
      </c>
      <c r="F302" s="19">
        <v>46631</v>
      </c>
      <c r="G302" s="10">
        <v>250</v>
      </c>
      <c r="H302" s="11">
        <v>76000</v>
      </c>
      <c r="I302" s="11">
        <f t="shared" si="12"/>
        <v>19000000</v>
      </c>
      <c r="J302" s="6">
        <f t="shared" ca="1" si="14"/>
        <v>309</v>
      </c>
      <c r="K302" s="8" t="str">
        <f t="shared" ca="1" si="13"/>
        <v>SAFE</v>
      </c>
    </row>
    <row r="303" spans="1:11" x14ac:dyDescent="0.25">
      <c r="A303" s="4" t="s">
        <v>327</v>
      </c>
      <c r="B303" s="4" t="s">
        <v>33</v>
      </c>
      <c r="C303" s="5" t="s">
        <v>34</v>
      </c>
      <c r="D303" s="4" t="s">
        <v>35</v>
      </c>
      <c r="E303" s="18">
        <v>45816</v>
      </c>
      <c r="F303" s="18">
        <v>46521</v>
      </c>
      <c r="G303" s="6">
        <v>500</v>
      </c>
      <c r="H303" s="7">
        <v>57000</v>
      </c>
      <c r="I303" s="7">
        <f t="shared" si="12"/>
        <v>28500000</v>
      </c>
      <c r="J303" s="6">
        <f t="shared" ca="1" si="14"/>
        <v>199</v>
      </c>
      <c r="K303" s="4" t="str">
        <f t="shared" ca="1" si="13"/>
        <v>SAFE</v>
      </c>
    </row>
    <row r="304" spans="1:11" x14ac:dyDescent="0.25">
      <c r="A304" s="8" t="s">
        <v>328</v>
      </c>
      <c r="B304" s="8" t="s">
        <v>16</v>
      </c>
      <c r="C304" s="9" t="s">
        <v>17</v>
      </c>
      <c r="D304" s="8" t="s">
        <v>6</v>
      </c>
      <c r="E304" s="19">
        <v>45894</v>
      </c>
      <c r="F304" s="19">
        <v>46424</v>
      </c>
      <c r="G304" s="10">
        <v>500</v>
      </c>
      <c r="H304" s="11">
        <v>69000</v>
      </c>
      <c r="I304" s="11">
        <f t="shared" si="12"/>
        <v>34500000</v>
      </c>
      <c r="J304" s="6">
        <f t="shared" ca="1" si="14"/>
        <v>102</v>
      </c>
      <c r="K304" s="8" t="str">
        <f t="shared" ca="1" si="13"/>
        <v>WARNING</v>
      </c>
    </row>
    <row r="305" spans="1:11" x14ac:dyDescent="0.25">
      <c r="A305" s="4" t="s">
        <v>329</v>
      </c>
      <c r="B305" s="4" t="s">
        <v>33</v>
      </c>
      <c r="C305" s="5" t="s">
        <v>34</v>
      </c>
      <c r="D305" s="4" t="s">
        <v>35</v>
      </c>
      <c r="E305" s="18">
        <v>45922</v>
      </c>
      <c r="F305" s="18">
        <v>46477</v>
      </c>
      <c r="G305" s="6">
        <v>750</v>
      </c>
      <c r="H305" s="7">
        <v>59000</v>
      </c>
      <c r="I305" s="7">
        <f t="shared" si="12"/>
        <v>44250000</v>
      </c>
      <c r="J305" s="6">
        <f t="shared" ca="1" si="14"/>
        <v>155</v>
      </c>
      <c r="K305" s="4" t="str">
        <f t="shared" ca="1" si="13"/>
        <v>WARNING</v>
      </c>
    </row>
    <row r="306" spans="1:11" x14ac:dyDescent="0.25">
      <c r="A306" s="8" t="s">
        <v>330</v>
      </c>
      <c r="B306" s="8" t="s">
        <v>19</v>
      </c>
      <c r="C306" s="9" t="s">
        <v>20</v>
      </c>
      <c r="D306" s="8" t="s">
        <v>21</v>
      </c>
      <c r="E306" s="19">
        <v>45884</v>
      </c>
      <c r="F306" s="19">
        <v>46408</v>
      </c>
      <c r="G306" s="10">
        <v>300</v>
      </c>
      <c r="H306" s="11">
        <v>45000</v>
      </c>
      <c r="I306" s="11">
        <f t="shared" si="12"/>
        <v>13500000</v>
      </c>
      <c r="J306" s="6">
        <f t="shared" ca="1" si="14"/>
        <v>86</v>
      </c>
      <c r="K306" s="8" t="str">
        <f t="shared" ca="1" si="13"/>
        <v>WARNING</v>
      </c>
    </row>
    <row r="307" spans="1:11" x14ac:dyDescent="0.25">
      <c r="A307" s="4" t="s">
        <v>331</v>
      </c>
      <c r="B307" s="4" t="s">
        <v>19</v>
      </c>
      <c r="C307" s="5" t="s">
        <v>20</v>
      </c>
      <c r="D307" s="4" t="s">
        <v>21</v>
      </c>
      <c r="E307" s="18">
        <v>45955</v>
      </c>
      <c r="F307" s="18">
        <v>46673</v>
      </c>
      <c r="G307" s="6">
        <v>250</v>
      </c>
      <c r="H307" s="7">
        <v>49000</v>
      </c>
      <c r="I307" s="7">
        <f t="shared" si="12"/>
        <v>12250000</v>
      </c>
      <c r="J307" s="6">
        <f t="shared" ca="1" si="14"/>
        <v>351</v>
      </c>
      <c r="K307" s="4" t="str">
        <f t="shared" ca="1" si="13"/>
        <v>SAFE</v>
      </c>
    </row>
    <row r="308" spans="1:11" x14ac:dyDescent="0.25">
      <c r="A308" s="8" t="s">
        <v>332</v>
      </c>
      <c r="B308" s="8" t="s">
        <v>45</v>
      </c>
      <c r="C308" s="9" t="s">
        <v>46</v>
      </c>
      <c r="D308" s="8" t="s">
        <v>14</v>
      </c>
      <c r="E308" s="19">
        <v>45898</v>
      </c>
      <c r="F308" s="19">
        <v>46519</v>
      </c>
      <c r="G308" s="10">
        <v>1000</v>
      </c>
      <c r="H308" s="11">
        <v>90000</v>
      </c>
      <c r="I308" s="11">
        <f t="shared" si="12"/>
        <v>90000000</v>
      </c>
      <c r="J308" s="6">
        <f t="shared" ca="1" si="14"/>
        <v>197</v>
      </c>
      <c r="K308" s="8" t="str">
        <f t="shared" ca="1" si="13"/>
        <v>SAFE</v>
      </c>
    </row>
    <row r="309" spans="1:11" x14ac:dyDescent="0.25">
      <c r="A309" s="4" t="s">
        <v>333</v>
      </c>
      <c r="B309" s="4" t="s">
        <v>45</v>
      </c>
      <c r="C309" s="5" t="s">
        <v>46</v>
      </c>
      <c r="D309" s="4" t="s">
        <v>14</v>
      </c>
      <c r="E309" s="18">
        <v>45969</v>
      </c>
      <c r="F309" s="18">
        <v>46604</v>
      </c>
      <c r="G309" s="6">
        <v>500</v>
      </c>
      <c r="H309" s="7">
        <v>89000</v>
      </c>
      <c r="I309" s="7">
        <f t="shared" si="12"/>
        <v>44500000</v>
      </c>
      <c r="J309" s="6">
        <f t="shared" ca="1" si="14"/>
        <v>282</v>
      </c>
      <c r="K309" s="4" t="str">
        <f t="shared" ca="1" si="13"/>
        <v>SAFE</v>
      </c>
    </row>
    <row r="310" spans="1:11" x14ac:dyDescent="0.25">
      <c r="A310" s="8" t="s">
        <v>334</v>
      </c>
      <c r="B310" s="8" t="s">
        <v>45</v>
      </c>
      <c r="C310" s="9" t="s">
        <v>46</v>
      </c>
      <c r="D310" s="8" t="s">
        <v>14</v>
      </c>
      <c r="E310" s="19">
        <v>45906</v>
      </c>
      <c r="F310" s="19">
        <v>46539</v>
      </c>
      <c r="G310" s="10">
        <v>750</v>
      </c>
      <c r="H310" s="11">
        <v>87000</v>
      </c>
      <c r="I310" s="11">
        <f t="shared" si="12"/>
        <v>65250000</v>
      </c>
      <c r="J310" s="6">
        <f t="shared" ca="1" si="14"/>
        <v>217</v>
      </c>
      <c r="K310" s="8" t="str">
        <f t="shared" ca="1" si="13"/>
        <v>SAFE</v>
      </c>
    </row>
    <row r="311" spans="1:11" x14ac:dyDescent="0.25">
      <c r="A311" s="4" t="s">
        <v>335</v>
      </c>
      <c r="B311" s="4" t="s">
        <v>12</v>
      </c>
      <c r="C311" s="5" t="s">
        <v>13</v>
      </c>
      <c r="D311" s="4" t="s">
        <v>14</v>
      </c>
      <c r="E311" s="18">
        <v>45890</v>
      </c>
      <c r="F311" s="18">
        <v>46437</v>
      </c>
      <c r="G311" s="6">
        <v>250</v>
      </c>
      <c r="H311" s="7">
        <v>30000</v>
      </c>
      <c r="I311" s="7">
        <f t="shared" si="12"/>
        <v>7500000</v>
      </c>
      <c r="J311" s="6">
        <f t="shared" ca="1" si="14"/>
        <v>115</v>
      </c>
      <c r="K311" s="4" t="str">
        <f t="shared" ca="1" si="13"/>
        <v>WARNING</v>
      </c>
    </row>
    <row r="312" spans="1:11" x14ac:dyDescent="0.25">
      <c r="A312" s="8" t="s">
        <v>336</v>
      </c>
      <c r="B312" s="8" t="s">
        <v>19</v>
      </c>
      <c r="C312" s="9" t="s">
        <v>20</v>
      </c>
      <c r="D312" s="8" t="s">
        <v>21</v>
      </c>
      <c r="E312" s="19">
        <v>45897</v>
      </c>
      <c r="F312" s="19">
        <v>46517</v>
      </c>
      <c r="G312" s="10">
        <v>250</v>
      </c>
      <c r="H312" s="11">
        <v>51000</v>
      </c>
      <c r="I312" s="11">
        <f t="shared" si="12"/>
        <v>12750000</v>
      </c>
      <c r="J312" s="6">
        <f t="shared" ca="1" si="14"/>
        <v>195</v>
      </c>
      <c r="K312" s="8" t="str">
        <f t="shared" ca="1" si="13"/>
        <v>SAFE</v>
      </c>
    </row>
    <row r="313" spans="1:11" x14ac:dyDescent="0.25">
      <c r="A313" s="4" t="s">
        <v>337</v>
      </c>
      <c r="B313" s="4" t="s">
        <v>16</v>
      </c>
      <c r="C313" s="5" t="s">
        <v>17</v>
      </c>
      <c r="D313" s="4" t="s">
        <v>6</v>
      </c>
      <c r="E313" s="18">
        <v>45901</v>
      </c>
      <c r="F313" s="18">
        <v>46537</v>
      </c>
      <c r="G313" s="6">
        <v>300</v>
      </c>
      <c r="H313" s="7">
        <v>62000</v>
      </c>
      <c r="I313" s="7">
        <f t="shared" si="12"/>
        <v>18600000</v>
      </c>
      <c r="J313" s="6">
        <f t="shared" ca="1" si="14"/>
        <v>215</v>
      </c>
      <c r="K313" s="4" t="str">
        <f t="shared" ca="1" si="13"/>
        <v>SAFE</v>
      </c>
    </row>
    <row r="314" spans="1:11" x14ac:dyDescent="0.25">
      <c r="A314" s="8" t="s">
        <v>338</v>
      </c>
      <c r="B314" s="8" t="s">
        <v>12</v>
      </c>
      <c r="C314" s="9" t="s">
        <v>13</v>
      </c>
      <c r="D314" s="8" t="s">
        <v>14</v>
      </c>
      <c r="E314" s="19">
        <v>46075</v>
      </c>
      <c r="F314" s="19">
        <v>46433</v>
      </c>
      <c r="G314" s="10">
        <v>300</v>
      </c>
      <c r="H314" s="11">
        <v>29000</v>
      </c>
      <c r="I314" s="11">
        <f t="shared" si="12"/>
        <v>8700000</v>
      </c>
      <c r="J314" s="6">
        <f t="shared" ca="1" si="14"/>
        <v>111</v>
      </c>
      <c r="K314" s="8" t="str">
        <f t="shared" ca="1" si="13"/>
        <v>WARNING</v>
      </c>
    </row>
    <row r="315" spans="1:11" x14ac:dyDescent="0.25">
      <c r="A315" s="4" t="s">
        <v>339</v>
      </c>
      <c r="B315" s="4" t="s">
        <v>45</v>
      </c>
      <c r="C315" s="5" t="s">
        <v>46</v>
      </c>
      <c r="D315" s="4" t="s">
        <v>14</v>
      </c>
      <c r="E315" s="18">
        <v>45811</v>
      </c>
      <c r="F315" s="18">
        <v>46528</v>
      </c>
      <c r="G315" s="6">
        <v>300</v>
      </c>
      <c r="H315" s="7">
        <v>90000</v>
      </c>
      <c r="I315" s="7">
        <f t="shared" si="12"/>
        <v>27000000</v>
      </c>
      <c r="J315" s="6">
        <f t="shared" ca="1" si="14"/>
        <v>206</v>
      </c>
      <c r="K315" s="4" t="str">
        <f t="shared" ca="1" si="13"/>
        <v>SAFE</v>
      </c>
    </row>
    <row r="316" spans="1:11" x14ac:dyDescent="0.25">
      <c r="A316" s="8" t="s">
        <v>340</v>
      </c>
      <c r="B316" s="8" t="s">
        <v>16</v>
      </c>
      <c r="C316" s="9" t="s">
        <v>17</v>
      </c>
      <c r="D316" s="8" t="s">
        <v>6</v>
      </c>
      <c r="E316" s="19">
        <v>46029</v>
      </c>
      <c r="F316" s="19">
        <v>46660</v>
      </c>
      <c r="G316" s="10">
        <v>200</v>
      </c>
      <c r="H316" s="11">
        <v>64000</v>
      </c>
      <c r="I316" s="11">
        <f t="shared" si="12"/>
        <v>12800000</v>
      </c>
      <c r="J316" s="6">
        <f t="shared" ca="1" si="14"/>
        <v>338</v>
      </c>
      <c r="K316" s="8" t="str">
        <f t="shared" ca="1" si="13"/>
        <v>SAFE</v>
      </c>
    </row>
    <row r="317" spans="1:11" x14ac:dyDescent="0.25">
      <c r="A317" s="4" t="s">
        <v>341</v>
      </c>
      <c r="B317" s="4" t="s">
        <v>53</v>
      </c>
      <c r="C317" s="5" t="s">
        <v>54</v>
      </c>
      <c r="D317" s="4" t="s">
        <v>35</v>
      </c>
      <c r="E317" s="18">
        <v>46079</v>
      </c>
      <c r="F317" s="18">
        <v>46356</v>
      </c>
      <c r="G317" s="6">
        <v>500</v>
      </c>
      <c r="H317" s="7">
        <v>49000</v>
      </c>
      <c r="I317" s="7">
        <f t="shared" si="12"/>
        <v>24500000</v>
      </c>
      <c r="J317" s="6">
        <f t="shared" ca="1" si="14"/>
        <v>34</v>
      </c>
      <c r="K317" s="4" t="str">
        <f t="shared" ca="1" si="13"/>
        <v>CRITICAL</v>
      </c>
    </row>
    <row r="318" spans="1:11" x14ac:dyDescent="0.25">
      <c r="A318" s="8" t="s">
        <v>342</v>
      </c>
      <c r="B318" s="8" t="s">
        <v>16</v>
      </c>
      <c r="C318" s="9" t="s">
        <v>17</v>
      </c>
      <c r="D318" s="8" t="s">
        <v>6</v>
      </c>
      <c r="E318" s="19">
        <v>45915</v>
      </c>
      <c r="F318" s="19">
        <v>46369</v>
      </c>
      <c r="G318" s="10">
        <v>100</v>
      </c>
      <c r="H318" s="11">
        <v>68000</v>
      </c>
      <c r="I318" s="11">
        <f t="shared" si="12"/>
        <v>6800000</v>
      </c>
      <c r="J318" s="6">
        <f t="shared" ca="1" si="14"/>
        <v>47</v>
      </c>
      <c r="K318" s="8" t="str">
        <f t="shared" ca="1" si="13"/>
        <v>CRITICAL</v>
      </c>
    </row>
    <row r="319" spans="1:11" x14ac:dyDescent="0.25">
      <c r="A319" s="4" t="s">
        <v>343</v>
      </c>
      <c r="B319" s="4" t="s">
        <v>53</v>
      </c>
      <c r="C319" s="5" t="s">
        <v>54</v>
      </c>
      <c r="D319" s="4" t="s">
        <v>35</v>
      </c>
      <c r="E319" s="18">
        <v>46011</v>
      </c>
      <c r="F319" s="18">
        <v>46634</v>
      </c>
      <c r="G319" s="6">
        <v>750</v>
      </c>
      <c r="H319" s="7">
        <v>53000</v>
      </c>
      <c r="I319" s="7">
        <f t="shared" si="12"/>
        <v>39750000</v>
      </c>
      <c r="J319" s="6">
        <f t="shared" ca="1" si="14"/>
        <v>312</v>
      </c>
      <c r="K319" s="4" t="str">
        <f t="shared" ca="1" si="13"/>
        <v>SAFE</v>
      </c>
    </row>
    <row r="320" spans="1:11" x14ac:dyDescent="0.25">
      <c r="A320" s="8" t="s">
        <v>344</v>
      </c>
      <c r="B320" s="8" t="s">
        <v>8</v>
      </c>
      <c r="C320" s="9" t="s">
        <v>9</v>
      </c>
      <c r="D320" s="8" t="s">
        <v>10</v>
      </c>
      <c r="E320" s="19">
        <v>46098</v>
      </c>
      <c r="F320" s="19">
        <v>46631</v>
      </c>
      <c r="G320" s="10">
        <v>200</v>
      </c>
      <c r="H320" s="11">
        <v>35000</v>
      </c>
      <c r="I320" s="11">
        <f t="shared" si="12"/>
        <v>7000000</v>
      </c>
      <c r="J320" s="6">
        <f t="shared" ca="1" si="14"/>
        <v>309</v>
      </c>
      <c r="K320" s="8" t="str">
        <f t="shared" ca="1" si="13"/>
        <v>SAFE</v>
      </c>
    </row>
    <row r="321" spans="1:11" x14ac:dyDescent="0.25">
      <c r="A321" s="4" t="s">
        <v>345</v>
      </c>
      <c r="B321" s="4" t="s">
        <v>8</v>
      </c>
      <c r="C321" s="5" t="s">
        <v>9</v>
      </c>
      <c r="D321" s="4" t="s">
        <v>10</v>
      </c>
      <c r="E321" s="18">
        <v>45944</v>
      </c>
      <c r="F321" s="18">
        <v>46567</v>
      </c>
      <c r="G321" s="6">
        <v>500</v>
      </c>
      <c r="H321" s="7">
        <v>33000</v>
      </c>
      <c r="I321" s="7">
        <f t="shared" si="12"/>
        <v>16500000</v>
      </c>
      <c r="J321" s="6">
        <f t="shared" ca="1" si="14"/>
        <v>245</v>
      </c>
      <c r="K321" s="4" t="str">
        <f t="shared" ca="1" si="13"/>
        <v>SAFE</v>
      </c>
    </row>
    <row r="322" spans="1:11" x14ac:dyDescent="0.25">
      <c r="A322" s="8" t="s">
        <v>346</v>
      </c>
      <c r="B322" s="8" t="s">
        <v>19</v>
      </c>
      <c r="C322" s="9" t="s">
        <v>20</v>
      </c>
      <c r="D322" s="8" t="s">
        <v>21</v>
      </c>
      <c r="E322" s="19">
        <v>45885</v>
      </c>
      <c r="F322" s="19">
        <v>46529</v>
      </c>
      <c r="G322" s="10">
        <v>300</v>
      </c>
      <c r="H322" s="11">
        <v>51000</v>
      </c>
      <c r="I322" s="11">
        <f t="shared" si="12"/>
        <v>15300000</v>
      </c>
      <c r="J322" s="6">
        <f t="shared" ca="1" si="14"/>
        <v>207</v>
      </c>
      <c r="K322" s="8" t="str">
        <f t="shared" ca="1" si="13"/>
        <v>SAFE</v>
      </c>
    </row>
    <row r="323" spans="1:11" x14ac:dyDescent="0.25">
      <c r="A323" s="4" t="s">
        <v>347</v>
      </c>
      <c r="B323" s="4" t="s">
        <v>33</v>
      </c>
      <c r="C323" s="5" t="s">
        <v>34</v>
      </c>
      <c r="D323" s="4" t="s">
        <v>35</v>
      </c>
      <c r="E323" s="18">
        <v>45847</v>
      </c>
      <c r="F323" s="18">
        <v>46563</v>
      </c>
      <c r="G323" s="6">
        <v>200</v>
      </c>
      <c r="H323" s="7">
        <v>52000</v>
      </c>
      <c r="I323" s="7">
        <f t="shared" si="12"/>
        <v>10400000</v>
      </c>
      <c r="J323" s="6">
        <f t="shared" ca="1" si="14"/>
        <v>241</v>
      </c>
      <c r="K323" s="4" t="str">
        <f t="shared" ca="1" si="13"/>
        <v>SAFE</v>
      </c>
    </row>
    <row r="324" spans="1:11" x14ac:dyDescent="0.25">
      <c r="A324" s="8" t="s">
        <v>348</v>
      </c>
      <c r="B324" s="8" t="s">
        <v>33</v>
      </c>
      <c r="C324" s="9" t="s">
        <v>34</v>
      </c>
      <c r="D324" s="8" t="s">
        <v>35</v>
      </c>
      <c r="E324" s="19">
        <v>46106</v>
      </c>
      <c r="F324" s="19">
        <v>46830</v>
      </c>
      <c r="G324" s="10">
        <v>250</v>
      </c>
      <c r="H324" s="11">
        <v>58000</v>
      </c>
      <c r="I324" s="11">
        <f t="shared" si="12"/>
        <v>14500000</v>
      </c>
      <c r="J324" s="6">
        <f t="shared" ca="1" si="14"/>
        <v>508</v>
      </c>
      <c r="K324" s="8" t="str">
        <f t="shared" ca="1" si="13"/>
        <v>SAFE</v>
      </c>
    </row>
    <row r="325" spans="1:11" ht="15.75" thickBot="1" x14ac:dyDescent="0.3">
      <c r="A325" s="12" t="s">
        <v>349</v>
      </c>
      <c r="B325" s="13"/>
      <c r="C325" s="13"/>
      <c r="D325" s="13"/>
      <c r="E325" s="20"/>
      <c r="F325" s="20"/>
      <c r="G325" s="14">
        <f>SUM(G5:G324)</f>
        <v>114800</v>
      </c>
      <c r="H325" s="13"/>
      <c r="I325" s="15">
        <f>SUM(I5:I324)</f>
        <v>6243600000</v>
      </c>
      <c r="J325" s="13"/>
      <c r="K325" s="13"/>
    </row>
    <row r="326" spans="1:11" ht="15.75" thickTop="1" x14ac:dyDescent="0.25"/>
  </sheetData>
  <conditionalFormatting sqref="K1:K1048576">
    <cfRule type="containsText" dxfId="20" priority="1" operator="containsText" text="EXPIRED">
      <formula>NOT(ISERROR(SEARCH("EXPIRED",K1)))</formula>
    </cfRule>
    <cfRule type="containsText" dxfId="19" priority="2" operator="containsText" text="WARNING">
      <formula>NOT(ISERROR(SEARCH("WARNING",K1)))</formula>
    </cfRule>
    <cfRule type="containsText" dxfId="18" priority="3" operator="containsText" text="CRITICAL">
      <formula>NOT(ISERROR(SEARCH("CRITICAL",K1)))</formula>
    </cfRule>
    <cfRule type="containsText" dxfId="17" priority="4" operator="containsText" text="SAFE">
      <formula>NOT(ISERROR(SEARCH("SAFE",K1)))</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C63B-F3CE-4479-A307-F1EE3642BD04}">
  <dimension ref="A1:F86"/>
  <sheetViews>
    <sheetView zoomScale="87" workbookViewId="0">
      <selection activeCell="A17" sqref="A17"/>
    </sheetView>
  </sheetViews>
  <sheetFormatPr defaultRowHeight="15" x14ac:dyDescent="0.25"/>
  <cols>
    <col min="1" max="1" width="65" customWidth="1"/>
    <col min="2" max="2" width="13" style="16" customWidth="1"/>
    <col min="3" max="3" width="12" customWidth="1"/>
    <col min="4" max="4" width="37" customWidth="1"/>
    <col min="5" max="5" width="14" customWidth="1"/>
    <col min="6" max="6" width="16.140625" customWidth="1"/>
  </cols>
  <sheetData>
    <row r="1" spans="1:6" ht="21" x14ac:dyDescent="0.35">
      <c r="A1" s="1" t="s">
        <v>0</v>
      </c>
    </row>
    <row r="2" spans="1:6" x14ac:dyDescent="0.25">
      <c r="A2" s="2" t="s">
        <v>461</v>
      </c>
    </row>
    <row r="4" spans="1:6" x14ac:dyDescent="0.25">
      <c r="A4" s="3" t="s">
        <v>431</v>
      </c>
      <c r="B4" s="17" t="s">
        <v>430</v>
      </c>
      <c r="C4" s="3" t="s">
        <v>437</v>
      </c>
      <c r="D4" s="3" t="s">
        <v>434</v>
      </c>
      <c r="E4" s="3" t="s">
        <v>435</v>
      </c>
      <c r="F4" s="25" t="s">
        <v>444</v>
      </c>
    </row>
    <row r="5" spans="1:6" x14ac:dyDescent="0.25">
      <c r="A5" s="4" t="s">
        <v>429</v>
      </c>
      <c r="B5" s="18">
        <v>46037</v>
      </c>
      <c r="C5" s="4" t="s">
        <v>12</v>
      </c>
      <c r="D5" s="5" t="s">
        <v>13</v>
      </c>
      <c r="E5" s="4" t="s">
        <v>14</v>
      </c>
      <c r="F5" s="6">
        <v>400</v>
      </c>
    </row>
    <row r="6" spans="1:6" x14ac:dyDescent="0.25">
      <c r="A6" s="8" t="s">
        <v>428</v>
      </c>
      <c r="B6" s="19">
        <v>46081</v>
      </c>
      <c r="C6" s="8" t="s">
        <v>29</v>
      </c>
      <c r="D6" s="9" t="s">
        <v>30</v>
      </c>
      <c r="E6" s="8" t="s">
        <v>10</v>
      </c>
      <c r="F6" s="10">
        <v>200</v>
      </c>
    </row>
    <row r="7" spans="1:6" x14ac:dyDescent="0.25">
      <c r="A7" s="4" t="s">
        <v>427</v>
      </c>
      <c r="B7" s="18">
        <v>46058</v>
      </c>
      <c r="C7" s="4" t="s">
        <v>4</v>
      </c>
      <c r="D7" s="5" t="s">
        <v>5</v>
      </c>
      <c r="E7" s="4" t="s">
        <v>6</v>
      </c>
      <c r="F7" s="6">
        <v>600</v>
      </c>
    </row>
    <row r="8" spans="1:6" x14ac:dyDescent="0.25">
      <c r="A8" s="8" t="s">
        <v>426</v>
      </c>
      <c r="B8" s="19">
        <v>46122</v>
      </c>
      <c r="C8" s="8" t="s">
        <v>16</v>
      </c>
      <c r="D8" s="9" t="s">
        <v>17</v>
      </c>
      <c r="E8" s="8" t="s">
        <v>6</v>
      </c>
      <c r="F8" s="10">
        <v>400</v>
      </c>
    </row>
    <row r="9" spans="1:6" x14ac:dyDescent="0.25">
      <c r="A9" s="4" t="s">
        <v>425</v>
      </c>
      <c r="B9" s="18">
        <v>46062</v>
      </c>
      <c r="C9" s="4" t="s">
        <v>45</v>
      </c>
      <c r="D9" s="5" t="s">
        <v>46</v>
      </c>
      <c r="E9" s="4" t="s">
        <v>14</v>
      </c>
      <c r="F9" s="6">
        <v>150</v>
      </c>
    </row>
    <row r="10" spans="1:6" x14ac:dyDescent="0.25">
      <c r="A10" s="8" t="s">
        <v>424</v>
      </c>
      <c r="B10" s="19">
        <v>46124</v>
      </c>
      <c r="C10" s="8" t="s">
        <v>33</v>
      </c>
      <c r="D10" s="9" t="s">
        <v>34</v>
      </c>
      <c r="E10" s="8" t="s">
        <v>35</v>
      </c>
      <c r="F10" s="10">
        <v>200</v>
      </c>
    </row>
    <row r="11" spans="1:6" x14ac:dyDescent="0.25">
      <c r="A11" s="4" t="s">
        <v>423</v>
      </c>
      <c r="B11" s="18">
        <v>46078</v>
      </c>
      <c r="C11" s="4" t="s">
        <v>45</v>
      </c>
      <c r="D11" s="5" t="s">
        <v>46</v>
      </c>
      <c r="E11" s="4" t="s">
        <v>14</v>
      </c>
      <c r="F11" s="6">
        <v>1000</v>
      </c>
    </row>
    <row r="12" spans="1:6" x14ac:dyDescent="0.25">
      <c r="A12" s="8" t="s">
        <v>422</v>
      </c>
      <c r="B12" s="19">
        <v>46116</v>
      </c>
      <c r="C12" s="8" t="s">
        <v>29</v>
      </c>
      <c r="D12" s="9" t="s">
        <v>30</v>
      </c>
      <c r="E12" s="8" t="s">
        <v>10</v>
      </c>
      <c r="F12" s="10">
        <v>150</v>
      </c>
    </row>
    <row r="13" spans="1:6" x14ac:dyDescent="0.25">
      <c r="A13" s="4" t="s">
        <v>421</v>
      </c>
      <c r="B13" s="18">
        <v>46073</v>
      </c>
      <c r="C13" s="4" t="s">
        <v>33</v>
      </c>
      <c r="D13" s="5" t="s">
        <v>34</v>
      </c>
      <c r="E13" s="4" t="s">
        <v>35</v>
      </c>
      <c r="F13" s="6">
        <v>400</v>
      </c>
    </row>
    <row r="14" spans="1:6" x14ac:dyDescent="0.25">
      <c r="A14" s="8" t="s">
        <v>420</v>
      </c>
      <c r="B14" s="19">
        <v>46060</v>
      </c>
      <c r="C14" s="8" t="s">
        <v>25</v>
      </c>
      <c r="D14" s="9" t="s">
        <v>26</v>
      </c>
      <c r="E14" s="8" t="s">
        <v>27</v>
      </c>
      <c r="F14" s="10">
        <v>300</v>
      </c>
    </row>
    <row r="15" spans="1:6" x14ac:dyDescent="0.25">
      <c r="A15" s="4" t="s">
        <v>419</v>
      </c>
      <c r="B15" s="18">
        <v>46096</v>
      </c>
      <c r="C15" s="4" t="s">
        <v>53</v>
      </c>
      <c r="D15" s="5" t="s">
        <v>54</v>
      </c>
      <c r="E15" s="4" t="s">
        <v>35</v>
      </c>
      <c r="F15" s="6">
        <v>800</v>
      </c>
    </row>
    <row r="16" spans="1:6" x14ac:dyDescent="0.25">
      <c r="A16" s="8" t="s">
        <v>418</v>
      </c>
      <c r="B16" s="19">
        <v>46125</v>
      </c>
      <c r="C16" s="8" t="s">
        <v>33</v>
      </c>
      <c r="D16" s="9" t="s">
        <v>34</v>
      </c>
      <c r="E16" s="8" t="s">
        <v>35</v>
      </c>
      <c r="F16" s="10">
        <v>200</v>
      </c>
    </row>
    <row r="17" spans="1:6" x14ac:dyDescent="0.25">
      <c r="A17" s="4" t="s">
        <v>417</v>
      </c>
      <c r="B17" s="18">
        <v>46072</v>
      </c>
      <c r="C17" s="4" t="s">
        <v>8</v>
      </c>
      <c r="D17" s="5" t="s">
        <v>9</v>
      </c>
      <c r="E17" s="4" t="s">
        <v>10</v>
      </c>
      <c r="F17" s="6">
        <v>200</v>
      </c>
    </row>
    <row r="18" spans="1:6" x14ac:dyDescent="0.25">
      <c r="A18" s="8" t="s">
        <v>416</v>
      </c>
      <c r="B18" s="19">
        <v>46091</v>
      </c>
      <c r="C18" s="8" t="s">
        <v>19</v>
      </c>
      <c r="D18" s="9" t="s">
        <v>20</v>
      </c>
      <c r="E18" s="8" t="s">
        <v>21</v>
      </c>
      <c r="F18" s="10">
        <v>200</v>
      </c>
    </row>
    <row r="19" spans="1:6" x14ac:dyDescent="0.25">
      <c r="A19" s="4" t="s">
        <v>415</v>
      </c>
      <c r="B19" s="18">
        <v>46083</v>
      </c>
      <c r="C19" s="4" t="s">
        <v>16</v>
      </c>
      <c r="D19" s="5" t="s">
        <v>17</v>
      </c>
      <c r="E19" s="4" t="s">
        <v>6</v>
      </c>
      <c r="F19" s="6">
        <v>150</v>
      </c>
    </row>
    <row r="20" spans="1:6" x14ac:dyDescent="0.25">
      <c r="A20" s="8" t="s">
        <v>414</v>
      </c>
      <c r="B20" s="19">
        <v>46069</v>
      </c>
      <c r="C20" s="8" t="s">
        <v>8</v>
      </c>
      <c r="D20" s="9" t="s">
        <v>9</v>
      </c>
      <c r="E20" s="8" t="s">
        <v>10</v>
      </c>
      <c r="F20" s="10">
        <v>800</v>
      </c>
    </row>
    <row r="21" spans="1:6" x14ac:dyDescent="0.25">
      <c r="A21" s="4" t="s">
        <v>413</v>
      </c>
      <c r="B21" s="18">
        <v>46117</v>
      </c>
      <c r="C21" s="4" t="s">
        <v>16</v>
      </c>
      <c r="D21" s="5" t="s">
        <v>17</v>
      </c>
      <c r="E21" s="4" t="s">
        <v>6</v>
      </c>
      <c r="F21" s="6">
        <v>600</v>
      </c>
    </row>
    <row r="22" spans="1:6" x14ac:dyDescent="0.25">
      <c r="A22" s="8" t="s">
        <v>412</v>
      </c>
      <c r="B22" s="19">
        <v>46051</v>
      </c>
      <c r="C22" s="8" t="s">
        <v>16</v>
      </c>
      <c r="D22" s="9" t="s">
        <v>17</v>
      </c>
      <c r="E22" s="8" t="s">
        <v>6</v>
      </c>
      <c r="F22" s="10">
        <v>300</v>
      </c>
    </row>
    <row r="23" spans="1:6" x14ac:dyDescent="0.25">
      <c r="A23" s="4" t="s">
        <v>411</v>
      </c>
      <c r="B23" s="18">
        <v>46068</v>
      </c>
      <c r="C23" s="4" t="s">
        <v>4</v>
      </c>
      <c r="D23" s="5" t="s">
        <v>5</v>
      </c>
      <c r="E23" s="4" t="s">
        <v>6</v>
      </c>
      <c r="F23" s="6">
        <v>300</v>
      </c>
    </row>
    <row r="24" spans="1:6" x14ac:dyDescent="0.25">
      <c r="A24" s="8" t="s">
        <v>410</v>
      </c>
      <c r="B24" s="19">
        <v>46109</v>
      </c>
      <c r="C24" s="8" t="s">
        <v>33</v>
      </c>
      <c r="D24" s="9" t="s">
        <v>34</v>
      </c>
      <c r="E24" s="8" t="s">
        <v>35</v>
      </c>
      <c r="F24" s="10">
        <v>600</v>
      </c>
    </row>
    <row r="25" spans="1:6" x14ac:dyDescent="0.25">
      <c r="A25" s="4" t="s">
        <v>409</v>
      </c>
      <c r="B25" s="18">
        <v>46061</v>
      </c>
      <c r="C25" s="4" t="s">
        <v>45</v>
      </c>
      <c r="D25" s="5" t="s">
        <v>46</v>
      </c>
      <c r="E25" s="4" t="s">
        <v>14</v>
      </c>
      <c r="F25" s="6">
        <v>200</v>
      </c>
    </row>
    <row r="26" spans="1:6" x14ac:dyDescent="0.25">
      <c r="A26" s="8" t="s">
        <v>408</v>
      </c>
      <c r="B26" s="19">
        <v>46043</v>
      </c>
      <c r="C26" s="8" t="s">
        <v>8</v>
      </c>
      <c r="D26" s="9" t="s">
        <v>9</v>
      </c>
      <c r="E26" s="8" t="s">
        <v>10</v>
      </c>
      <c r="F26" s="10">
        <v>500</v>
      </c>
    </row>
    <row r="27" spans="1:6" x14ac:dyDescent="0.25">
      <c r="A27" s="4" t="s">
        <v>407</v>
      </c>
      <c r="B27" s="18">
        <v>46103</v>
      </c>
      <c r="C27" s="4" t="s">
        <v>25</v>
      </c>
      <c r="D27" s="5" t="s">
        <v>26</v>
      </c>
      <c r="E27" s="4" t="s">
        <v>27</v>
      </c>
      <c r="F27" s="6">
        <v>200</v>
      </c>
    </row>
    <row r="28" spans="1:6" x14ac:dyDescent="0.25">
      <c r="A28" s="8" t="s">
        <v>406</v>
      </c>
      <c r="B28" s="19">
        <v>46075</v>
      </c>
      <c r="C28" s="8" t="s">
        <v>12</v>
      </c>
      <c r="D28" s="9" t="s">
        <v>13</v>
      </c>
      <c r="E28" s="8" t="s">
        <v>14</v>
      </c>
      <c r="F28" s="10">
        <v>150</v>
      </c>
    </row>
    <row r="29" spans="1:6" x14ac:dyDescent="0.25">
      <c r="A29" s="4" t="s">
        <v>405</v>
      </c>
      <c r="B29" s="18">
        <v>46111</v>
      </c>
      <c r="C29" s="4" t="s">
        <v>19</v>
      </c>
      <c r="D29" s="5" t="s">
        <v>20</v>
      </c>
      <c r="E29" s="4" t="s">
        <v>21</v>
      </c>
      <c r="F29" s="6">
        <v>800</v>
      </c>
    </row>
    <row r="30" spans="1:6" x14ac:dyDescent="0.25">
      <c r="A30" s="8" t="s">
        <v>404</v>
      </c>
      <c r="B30" s="19">
        <v>46096</v>
      </c>
      <c r="C30" s="8" t="s">
        <v>29</v>
      </c>
      <c r="D30" s="9" t="s">
        <v>30</v>
      </c>
      <c r="E30" s="8" t="s">
        <v>10</v>
      </c>
      <c r="F30" s="10">
        <v>600</v>
      </c>
    </row>
    <row r="31" spans="1:6" x14ac:dyDescent="0.25">
      <c r="A31" s="4" t="s">
        <v>403</v>
      </c>
      <c r="B31" s="18">
        <v>46104</v>
      </c>
      <c r="C31" s="4" t="s">
        <v>8</v>
      </c>
      <c r="D31" s="5" t="s">
        <v>9</v>
      </c>
      <c r="E31" s="4" t="s">
        <v>10</v>
      </c>
      <c r="F31" s="6">
        <v>200</v>
      </c>
    </row>
    <row r="32" spans="1:6" x14ac:dyDescent="0.25">
      <c r="A32" s="8" t="s">
        <v>402</v>
      </c>
      <c r="B32" s="19">
        <v>46078</v>
      </c>
      <c r="C32" s="8" t="s">
        <v>12</v>
      </c>
      <c r="D32" s="9" t="s">
        <v>13</v>
      </c>
      <c r="E32" s="8" t="s">
        <v>14</v>
      </c>
      <c r="F32" s="10">
        <v>1000</v>
      </c>
    </row>
    <row r="33" spans="1:6" x14ac:dyDescent="0.25">
      <c r="A33" s="4" t="s">
        <v>401</v>
      </c>
      <c r="B33" s="18">
        <v>46072</v>
      </c>
      <c r="C33" s="4" t="s">
        <v>4</v>
      </c>
      <c r="D33" s="5" t="s">
        <v>5</v>
      </c>
      <c r="E33" s="4" t="s">
        <v>6</v>
      </c>
      <c r="F33" s="6">
        <v>1000</v>
      </c>
    </row>
    <row r="34" spans="1:6" x14ac:dyDescent="0.25">
      <c r="A34" s="8" t="s">
        <v>400</v>
      </c>
      <c r="B34" s="19">
        <v>46072</v>
      </c>
      <c r="C34" s="8" t="s">
        <v>16</v>
      </c>
      <c r="D34" s="9" t="s">
        <v>17</v>
      </c>
      <c r="E34" s="8" t="s">
        <v>6</v>
      </c>
      <c r="F34" s="10">
        <v>300</v>
      </c>
    </row>
    <row r="35" spans="1:6" x14ac:dyDescent="0.25">
      <c r="A35" s="4" t="s">
        <v>399</v>
      </c>
      <c r="B35" s="18">
        <v>46044</v>
      </c>
      <c r="C35" s="4" t="s">
        <v>45</v>
      </c>
      <c r="D35" s="5" t="s">
        <v>46</v>
      </c>
      <c r="E35" s="4" t="s">
        <v>14</v>
      </c>
      <c r="F35" s="6">
        <v>150</v>
      </c>
    </row>
    <row r="36" spans="1:6" x14ac:dyDescent="0.25">
      <c r="A36" s="8" t="s">
        <v>398</v>
      </c>
      <c r="B36" s="19">
        <v>46077</v>
      </c>
      <c r="C36" s="8" t="s">
        <v>12</v>
      </c>
      <c r="D36" s="9" t="s">
        <v>13</v>
      </c>
      <c r="E36" s="8" t="s">
        <v>14</v>
      </c>
      <c r="F36" s="10">
        <v>800</v>
      </c>
    </row>
    <row r="37" spans="1:6" x14ac:dyDescent="0.25">
      <c r="A37" s="4" t="s">
        <v>397</v>
      </c>
      <c r="B37" s="18">
        <v>46049</v>
      </c>
      <c r="C37" s="4" t="s">
        <v>53</v>
      </c>
      <c r="D37" s="5" t="s">
        <v>54</v>
      </c>
      <c r="E37" s="4" t="s">
        <v>35</v>
      </c>
      <c r="F37" s="6">
        <v>150</v>
      </c>
    </row>
    <row r="38" spans="1:6" x14ac:dyDescent="0.25">
      <c r="A38" s="8" t="s">
        <v>396</v>
      </c>
      <c r="B38" s="19">
        <v>46096</v>
      </c>
      <c r="C38" s="8" t="s">
        <v>25</v>
      </c>
      <c r="D38" s="9" t="s">
        <v>26</v>
      </c>
      <c r="E38" s="8" t="s">
        <v>27</v>
      </c>
      <c r="F38" s="10">
        <v>500</v>
      </c>
    </row>
    <row r="39" spans="1:6" x14ac:dyDescent="0.25">
      <c r="A39" s="4" t="s">
        <v>395</v>
      </c>
      <c r="B39" s="18">
        <v>46044</v>
      </c>
      <c r="C39" s="4" t="s">
        <v>16</v>
      </c>
      <c r="D39" s="5" t="s">
        <v>17</v>
      </c>
      <c r="E39" s="4" t="s">
        <v>6</v>
      </c>
      <c r="F39" s="6">
        <v>600</v>
      </c>
    </row>
    <row r="40" spans="1:6" x14ac:dyDescent="0.25">
      <c r="A40" s="8" t="s">
        <v>394</v>
      </c>
      <c r="B40" s="19">
        <v>46086</v>
      </c>
      <c r="C40" s="8" t="s">
        <v>29</v>
      </c>
      <c r="D40" s="9" t="s">
        <v>30</v>
      </c>
      <c r="E40" s="8" t="s">
        <v>10</v>
      </c>
      <c r="F40" s="10">
        <v>300</v>
      </c>
    </row>
    <row r="41" spans="1:6" x14ac:dyDescent="0.25">
      <c r="A41" s="4" t="s">
        <v>393</v>
      </c>
      <c r="B41" s="18">
        <v>46080</v>
      </c>
      <c r="C41" s="4" t="s">
        <v>12</v>
      </c>
      <c r="D41" s="5" t="s">
        <v>13</v>
      </c>
      <c r="E41" s="4" t="s">
        <v>14</v>
      </c>
      <c r="F41" s="6">
        <v>500</v>
      </c>
    </row>
    <row r="42" spans="1:6" x14ac:dyDescent="0.25">
      <c r="A42" s="8" t="s">
        <v>392</v>
      </c>
      <c r="B42" s="19">
        <v>46039</v>
      </c>
      <c r="C42" s="8" t="s">
        <v>33</v>
      </c>
      <c r="D42" s="9" t="s">
        <v>34</v>
      </c>
      <c r="E42" s="8" t="s">
        <v>35</v>
      </c>
      <c r="F42" s="10">
        <v>600</v>
      </c>
    </row>
    <row r="43" spans="1:6" x14ac:dyDescent="0.25">
      <c r="A43" s="4" t="s">
        <v>391</v>
      </c>
      <c r="B43" s="18">
        <v>46038</v>
      </c>
      <c r="C43" s="4" t="s">
        <v>12</v>
      </c>
      <c r="D43" s="5" t="s">
        <v>13</v>
      </c>
      <c r="E43" s="4" t="s">
        <v>14</v>
      </c>
      <c r="F43" s="6">
        <v>800</v>
      </c>
    </row>
    <row r="44" spans="1:6" x14ac:dyDescent="0.25">
      <c r="A44" s="8" t="s">
        <v>390</v>
      </c>
      <c r="B44" s="19">
        <v>46117</v>
      </c>
      <c r="C44" s="8" t="s">
        <v>25</v>
      </c>
      <c r="D44" s="9" t="s">
        <v>26</v>
      </c>
      <c r="E44" s="8" t="s">
        <v>27</v>
      </c>
      <c r="F44" s="10">
        <v>300</v>
      </c>
    </row>
    <row r="45" spans="1:6" x14ac:dyDescent="0.25">
      <c r="A45" s="4" t="s">
        <v>389</v>
      </c>
      <c r="B45" s="18">
        <v>46123</v>
      </c>
      <c r="C45" s="4" t="s">
        <v>25</v>
      </c>
      <c r="D45" s="5" t="s">
        <v>26</v>
      </c>
      <c r="E45" s="4" t="s">
        <v>27</v>
      </c>
      <c r="F45" s="6">
        <v>600</v>
      </c>
    </row>
    <row r="46" spans="1:6" x14ac:dyDescent="0.25">
      <c r="A46" s="8" t="s">
        <v>388</v>
      </c>
      <c r="B46" s="19">
        <v>46044</v>
      </c>
      <c r="C46" s="8" t="s">
        <v>53</v>
      </c>
      <c r="D46" s="9" t="s">
        <v>54</v>
      </c>
      <c r="E46" s="8" t="s">
        <v>35</v>
      </c>
      <c r="F46" s="10">
        <v>600</v>
      </c>
    </row>
    <row r="47" spans="1:6" x14ac:dyDescent="0.25">
      <c r="A47" s="4" t="s">
        <v>387</v>
      </c>
      <c r="B47" s="18">
        <v>46072</v>
      </c>
      <c r="C47" s="4" t="s">
        <v>33</v>
      </c>
      <c r="D47" s="5" t="s">
        <v>34</v>
      </c>
      <c r="E47" s="4" t="s">
        <v>35</v>
      </c>
      <c r="F47" s="6">
        <v>500</v>
      </c>
    </row>
    <row r="48" spans="1:6" x14ac:dyDescent="0.25">
      <c r="A48" s="8" t="s">
        <v>386</v>
      </c>
      <c r="B48" s="19">
        <v>46091</v>
      </c>
      <c r="C48" s="8" t="s">
        <v>45</v>
      </c>
      <c r="D48" s="9" t="s">
        <v>46</v>
      </c>
      <c r="E48" s="8" t="s">
        <v>14</v>
      </c>
      <c r="F48" s="10">
        <v>1000</v>
      </c>
    </row>
    <row r="49" spans="1:6" x14ac:dyDescent="0.25">
      <c r="A49" s="4" t="s">
        <v>385</v>
      </c>
      <c r="B49" s="18">
        <v>46098</v>
      </c>
      <c r="C49" s="4" t="s">
        <v>33</v>
      </c>
      <c r="D49" s="5" t="s">
        <v>34</v>
      </c>
      <c r="E49" s="4" t="s">
        <v>35</v>
      </c>
      <c r="F49" s="6">
        <v>600</v>
      </c>
    </row>
    <row r="50" spans="1:6" x14ac:dyDescent="0.25">
      <c r="A50" s="8" t="s">
        <v>384</v>
      </c>
      <c r="B50" s="19">
        <v>46091</v>
      </c>
      <c r="C50" s="8" t="s">
        <v>45</v>
      </c>
      <c r="D50" s="9" t="s">
        <v>46</v>
      </c>
      <c r="E50" s="8" t="s">
        <v>14</v>
      </c>
      <c r="F50" s="10">
        <v>1000</v>
      </c>
    </row>
    <row r="51" spans="1:6" x14ac:dyDescent="0.25">
      <c r="A51" s="4" t="s">
        <v>383</v>
      </c>
      <c r="B51" s="18">
        <v>46052</v>
      </c>
      <c r="C51" s="4" t="s">
        <v>19</v>
      </c>
      <c r="D51" s="5" t="s">
        <v>20</v>
      </c>
      <c r="E51" s="4" t="s">
        <v>21</v>
      </c>
      <c r="F51" s="6">
        <v>400</v>
      </c>
    </row>
    <row r="52" spans="1:6" x14ac:dyDescent="0.25">
      <c r="A52" s="8" t="s">
        <v>382</v>
      </c>
      <c r="B52" s="19">
        <v>46120</v>
      </c>
      <c r="C52" s="8" t="s">
        <v>29</v>
      </c>
      <c r="D52" s="9" t="s">
        <v>30</v>
      </c>
      <c r="E52" s="8" t="s">
        <v>10</v>
      </c>
      <c r="F52" s="10">
        <v>300</v>
      </c>
    </row>
    <row r="53" spans="1:6" x14ac:dyDescent="0.25">
      <c r="A53" s="4" t="s">
        <v>381</v>
      </c>
      <c r="B53" s="18">
        <v>46041</v>
      </c>
      <c r="C53" s="4" t="s">
        <v>4</v>
      </c>
      <c r="D53" s="5" t="s">
        <v>5</v>
      </c>
      <c r="E53" s="4" t="s">
        <v>6</v>
      </c>
      <c r="F53" s="6">
        <v>400</v>
      </c>
    </row>
    <row r="54" spans="1:6" x14ac:dyDescent="0.25">
      <c r="A54" s="8" t="s">
        <v>380</v>
      </c>
      <c r="B54" s="19">
        <v>46101</v>
      </c>
      <c r="C54" s="8" t="s">
        <v>29</v>
      </c>
      <c r="D54" s="9" t="s">
        <v>30</v>
      </c>
      <c r="E54" s="8" t="s">
        <v>10</v>
      </c>
      <c r="F54" s="10">
        <v>150</v>
      </c>
    </row>
    <row r="55" spans="1:6" x14ac:dyDescent="0.25">
      <c r="A55" s="4" t="s">
        <v>379</v>
      </c>
      <c r="B55" s="18">
        <v>46120</v>
      </c>
      <c r="C55" s="4" t="s">
        <v>16</v>
      </c>
      <c r="D55" s="5" t="s">
        <v>17</v>
      </c>
      <c r="E55" s="4" t="s">
        <v>6</v>
      </c>
      <c r="F55" s="6">
        <v>600</v>
      </c>
    </row>
    <row r="56" spans="1:6" x14ac:dyDescent="0.25">
      <c r="A56" s="8" t="s">
        <v>378</v>
      </c>
      <c r="B56" s="19">
        <v>46118</v>
      </c>
      <c r="C56" s="8" t="s">
        <v>12</v>
      </c>
      <c r="D56" s="9" t="s">
        <v>13</v>
      </c>
      <c r="E56" s="8" t="s">
        <v>14</v>
      </c>
      <c r="F56" s="10">
        <v>1000</v>
      </c>
    </row>
    <row r="57" spans="1:6" x14ac:dyDescent="0.25">
      <c r="A57" s="4" t="s">
        <v>377</v>
      </c>
      <c r="B57" s="18">
        <v>46068</v>
      </c>
      <c r="C57" s="4" t="s">
        <v>4</v>
      </c>
      <c r="D57" s="5" t="s">
        <v>5</v>
      </c>
      <c r="E57" s="4" t="s">
        <v>6</v>
      </c>
      <c r="F57" s="6">
        <v>150</v>
      </c>
    </row>
    <row r="58" spans="1:6" x14ac:dyDescent="0.25">
      <c r="A58" s="8" t="s">
        <v>376</v>
      </c>
      <c r="B58" s="19">
        <v>46052</v>
      </c>
      <c r="C58" s="8" t="s">
        <v>16</v>
      </c>
      <c r="D58" s="9" t="s">
        <v>17</v>
      </c>
      <c r="E58" s="8" t="s">
        <v>6</v>
      </c>
      <c r="F58" s="10">
        <v>400</v>
      </c>
    </row>
    <row r="59" spans="1:6" x14ac:dyDescent="0.25">
      <c r="A59" s="4" t="s">
        <v>375</v>
      </c>
      <c r="B59" s="18">
        <v>46050</v>
      </c>
      <c r="C59" s="4" t="s">
        <v>12</v>
      </c>
      <c r="D59" s="5" t="s">
        <v>13</v>
      </c>
      <c r="E59" s="4" t="s">
        <v>14</v>
      </c>
      <c r="F59" s="6">
        <v>400</v>
      </c>
    </row>
    <row r="60" spans="1:6" x14ac:dyDescent="0.25">
      <c r="A60" s="8" t="s">
        <v>374</v>
      </c>
      <c r="B60" s="19">
        <v>46059</v>
      </c>
      <c r="C60" s="8" t="s">
        <v>19</v>
      </c>
      <c r="D60" s="9" t="s">
        <v>20</v>
      </c>
      <c r="E60" s="8" t="s">
        <v>21</v>
      </c>
      <c r="F60" s="10">
        <v>200</v>
      </c>
    </row>
    <row r="61" spans="1:6" x14ac:dyDescent="0.25">
      <c r="A61" s="4" t="s">
        <v>373</v>
      </c>
      <c r="B61" s="18">
        <v>46121</v>
      </c>
      <c r="C61" s="4" t="s">
        <v>25</v>
      </c>
      <c r="D61" s="5" t="s">
        <v>26</v>
      </c>
      <c r="E61" s="4" t="s">
        <v>27</v>
      </c>
      <c r="F61" s="6">
        <v>200</v>
      </c>
    </row>
    <row r="62" spans="1:6" x14ac:dyDescent="0.25">
      <c r="A62" s="8" t="s">
        <v>372</v>
      </c>
      <c r="B62" s="19">
        <v>46109</v>
      </c>
      <c r="C62" s="8" t="s">
        <v>45</v>
      </c>
      <c r="D62" s="9" t="s">
        <v>46</v>
      </c>
      <c r="E62" s="8" t="s">
        <v>14</v>
      </c>
      <c r="F62" s="10">
        <v>150</v>
      </c>
    </row>
    <row r="63" spans="1:6" x14ac:dyDescent="0.25">
      <c r="A63" s="4" t="s">
        <v>371</v>
      </c>
      <c r="B63" s="18">
        <v>46088</v>
      </c>
      <c r="C63" s="4" t="s">
        <v>8</v>
      </c>
      <c r="D63" s="5" t="s">
        <v>9</v>
      </c>
      <c r="E63" s="4" t="s">
        <v>10</v>
      </c>
      <c r="F63" s="6">
        <v>600</v>
      </c>
    </row>
    <row r="64" spans="1:6" x14ac:dyDescent="0.25">
      <c r="A64" s="8" t="s">
        <v>370</v>
      </c>
      <c r="B64" s="19">
        <v>46062</v>
      </c>
      <c r="C64" s="8" t="s">
        <v>4</v>
      </c>
      <c r="D64" s="9" t="s">
        <v>5</v>
      </c>
      <c r="E64" s="8" t="s">
        <v>6</v>
      </c>
      <c r="F64" s="10">
        <v>400</v>
      </c>
    </row>
    <row r="65" spans="1:6" x14ac:dyDescent="0.25">
      <c r="A65" s="4" t="s">
        <v>369</v>
      </c>
      <c r="B65" s="18">
        <v>46091</v>
      </c>
      <c r="C65" s="4" t="s">
        <v>25</v>
      </c>
      <c r="D65" s="5" t="s">
        <v>26</v>
      </c>
      <c r="E65" s="4" t="s">
        <v>27</v>
      </c>
      <c r="F65" s="6">
        <v>600</v>
      </c>
    </row>
    <row r="66" spans="1:6" x14ac:dyDescent="0.25">
      <c r="A66" s="8" t="s">
        <v>368</v>
      </c>
      <c r="B66" s="19">
        <v>46058</v>
      </c>
      <c r="C66" s="8" t="s">
        <v>8</v>
      </c>
      <c r="D66" s="9" t="s">
        <v>9</v>
      </c>
      <c r="E66" s="8" t="s">
        <v>10</v>
      </c>
      <c r="F66" s="10">
        <v>300</v>
      </c>
    </row>
    <row r="67" spans="1:6" x14ac:dyDescent="0.25">
      <c r="A67" s="4" t="s">
        <v>367</v>
      </c>
      <c r="B67" s="18">
        <v>46096</v>
      </c>
      <c r="C67" s="4" t="s">
        <v>12</v>
      </c>
      <c r="D67" s="5" t="s">
        <v>13</v>
      </c>
      <c r="E67" s="4" t="s">
        <v>14</v>
      </c>
      <c r="F67" s="6">
        <v>500</v>
      </c>
    </row>
    <row r="68" spans="1:6" x14ac:dyDescent="0.25">
      <c r="A68" s="8" t="s">
        <v>366</v>
      </c>
      <c r="B68" s="19">
        <v>46048</v>
      </c>
      <c r="C68" s="8" t="s">
        <v>53</v>
      </c>
      <c r="D68" s="9" t="s">
        <v>54</v>
      </c>
      <c r="E68" s="8" t="s">
        <v>35</v>
      </c>
      <c r="F68" s="10">
        <v>800</v>
      </c>
    </row>
    <row r="69" spans="1:6" x14ac:dyDescent="0.25">
      <c r="A69" s="4" t="s">
        <v>365</v>
      </c>
      <c r="B69" s="18">
        <v>46078</v>
      </c>
      <c r="C69" s="4" t="s">
        <v>19</v>
      </c>
      <c r="D69" s="5" t="s">
        <v>20</v>
      </c>
      <c r="E69" s="4" t="s">
        <v>21</v>
      </c>
      <c r="F69" s="6">
        <v>600</v>
      </c>
    </row>
    <row r="70" spans="1:6" x14ac:dyDescent="0.25">
      <c r="A70" s="8" t="s">
        <v>364</v>
      </c>
      <c r="B70" s="19">
        <v>46081</v>
      </c>
      <c r="C70" s="8" t="s">
        <v>25</v>
      </c>
      <c r="D70" s="9" t="s">
        <v>26</v>
      </c>
      <c r="E70" s="8" t="s">
        <v>27</v>
      </c>
      <c r="F70" s="10">
        <v>300</v>
      </c>
    </row>
    <row r="71" spans="1:6" x14ac:dyDescent="0.25">
      <c r="A71" s="4" t="s">
        <v>363</v>
      </c>
      <c r="B71" s="18">
        <v>46066</v>
      </c>
      <c r="C71" s="4" t="s">
        <v>29</v>
      </c>
      <c r="D71" s="5" t="s">
        <v>30</v>
      </c>
      <c r="E71" s="4" t="s">
        <v>10</v>
      </c>
      <c r="F71" s="6">
        <v>600</v>
      </c>
    </row>
    <row r="72" spans="1:6" x14ac:dyDescent="0.25">
      <c r="A72" s="8" t="s">
        <v>362</v>
      </c>
      <c r="B72" s="19">
        <v>46103</v>
      </c>
      <c r="C72" s="8" t="s">
        <v>12</v>
      </c>
      <c r="D72" s="9" t="s">
        <v>13</v>
      </c>
      <c r="E72" s="8" t="s">
        <v>14</v>
      </c>
      <c r="F72" s="10">
        <v>1000</v>
      </c>
    </row>
    <row r="73" spans="1:6" x14ac:dyDescent="0.25">
      <c r="A73" s="4" t="s">
        <v>361</v>
      </c>
      <c r="B73" s="18">
        <v>46088</v>
      </c>
      <c r="C73" s="4" t="s">
        <v>4</v>
      </c>
      <c r="D73" s="5" t="s">
        <v>5</v>
      </c>
      <c r="E73" s="4" t="s">
        <v>6</v>
      </c>
      <c r="F73" s="6">
        <v>600</v>
      </c>
    </row>
    <row r="74" spans="1:6" x14ac:dyDescent="0.25">
      <c r="A74" s="8" t="s">
        <v>360</v>
      </c>
      <c r="B74" s="19">
        <v>46051</v>
      </c>
      <c r="C74" s="8" t="s">
        <v>45</v>
      </c>
      <c r="D74" s="9" t="s">
        <v>46</v>
      </c>
      <c r="E74" s="8" t="s">
        <v>14</v>
      </c>
      <c r="F74" s="10">
        <v>500</v>
      </c>
    </row>
    <row r="75" spans="1:6" x14ac:dyDescent="0.25">
      <c r="A75" s="4" t="s">
        <v>359</v>
      </c>
      <c r="B75" s="18">
        <v>46102</v>
      </c>
      <c r="C75" s="4" t="s">
        <v>8</v>
      </c>
      <c r="D75" s="5" t="s">
        <v>9</v>
      </c>
      <c r="E75" s="4" t="s">
        <v>10</v>
      </c>
      <c r="F75" s="6">
        <v>300</v>
      </c>
    </row>
    <row r="76" spans="1:6" x14ac:dyDescent="0.25">
      <c r="A76" s="8" t="s">
        <v>358</v>
      </c>
      <c r="B76" s="19">
        <v>46071</v>
      </c>
      <c r="C76" s="8" t="s">
        <v>25</v>
      </c>
      <c r="D76" s="9" t="s">
        <v>26</v>
      </c>
      <c r="E76" s="8" t="s">
        <v>27</v>
      </c>
      <c r="F76" s="10">
        <v>200</v>
      </c>
    </row>
    <row r="77" spans="1:6" x14ac:dyDescent="0.25">
      <c r="A77" s="4" t="s">
        <v>357</v>
      </c>
      <c r="B77" s="18">
        <v>46118</v>
      </c>
      <c r="C77" s="4" t="s">
        <v>53</v>
      </c>
      <c r="D77" s="5" t="s">
        <v>54</v>
      </c>
      <c r="E77" s="4" t="s">
        <v>35</v>
      </c>
      <c r="F77" s="6">
        <v>1000</v>
      </c>
    </row>
    <row r="78" spans="1:6" x14ac:dyDescent="0.25">
      <c r="A78" s="8" t="s">
        <v>356</v>
      </c>
      <c r="B78" s="19">
        <v>46061</v>
      </c>
      <c r="C78" s="8" t="s">
        <v>33</v>
      </c>
      <c r="D78" s="9" t="s">
        <v>34</v>
      </c>
      <c r="E78" s="8" t="s">
        <v>35</v>
      </c>
      <c r="F78" s="10">
        <v>200</v>
      </c>
    </row>
    <row r="79" spans="1:6" x14ac:dyDescent="0.25">
      <c r="A79" s="4" t="s">
        <v>355</v>
      </c>
      <c r="B79" s="18">
        <v>46090</v>
      </c>
      <c r="C79" s="4" t="s">
        <v>45</v>
      </c>
      <c r="D79" s="5" t="s">
        <v>46</v>
      </c>
      <c r="E79" s="4" t="s">
        <v>14</v>
      </c>
      <c r="F79" s="6">
        <v>150</v>
      </c>
    </row>
    <row r="80" spans="1:6" x14ac:dyDescent="0.25">
      <c r="A80" s="8" t="s">
        <v>354</v>
      </c>
      <c r="B80" s="19">
        <v>46050</v>
      </c>
      <c r="C80" s="8" t="s">
        <v>53</v>
      </c>
      <c r="D80" s="9" t="s">
        <v>54</v>
      </c>
      <c r="E80" s="8" t="s">
        <v>35</v>
      </c>
      <c r="F80" s="10">
        <v>150</v>
      </c>
    </row>
    <row r="81" spans="1:6" x14ac:dyDescent="0.25">
      <c r="A81" s="4" t="s">
        <v>353</v>
      </c>
      <c r="B81" s="18">
        <v>46088</v>
      </c>
      <c r="C81" s="4" t="s">
        <v>12</v>
      </c>
      <c r="D81" s="5" t="s">
        <v>13</v>
      </c>
      <c r="E81" s="4" t="s">
        <v>14</v>
      </c>
      <c r="F81" s="6">
        <v>300</v>
      </c>
    </row>
    <row r="82" spans="1:6" x14ac:dyDescent="0.25">
      <c r="A82" s="8" t="s">
        <v>352</v>
      </c>
      <c r="B82" s="19">
        <v>46077</v>
      </c>
      <c r="C82" s="8" t="s">
        <v>8</v>
      </c>
      <c r="D82" s="9" t="s">
        <v>9</v>
      </c>
      <c r="E82" s="8" t="s">
        <v>10</v>
      </c>
      <c r="F82" s="10">
        <v>600</v>
      </c>
    </row>
    <row r="83" spans="1:6" x14ac:dyDescent="0.25">
      <c r="A83" s="4" t="s">
        <v>351</v>
      </c>
      <c r="B83" s="18">
        <v>46049</v>
      </c>
      <c r="C83" s="4" t="s">
        <v>45</v>
      </c>
      <c r="D83" s="5" t="s">
        <v>46</v>
      </c>
      <c r="E83" s="4" t="s">
        <v>14</v>
      </c>
      <c r="F83" s="6">
        <v>500</v>
      </c>
    </row>
    <row r="84" spans="1:6" x14ac:dyDescent="0.25">
      <c r="A84" s="8" t="s">
        <v>350</v>
      </c>
      <c r="B84" s="19">
        <v>46044</v>
      </c>
      <c r="C84" s="8" t="s">
        <v>25</v>
      </c>
      <c r="D84" s="9" t="s">
        <v>26</v>
      </c>
      <c r="E84" s="8" t="s">
        <v>27</v>
      </c>
      <c r="F84" s="10">
        <v>500</v>
      </c>
    </row>
    <row r="85" spans="1:6" ht="15.75" thickBot="1" x14ac:dyDescent="0.3">
      <c r="A85" s="12" t="s">
        <v>349</v>
      </c>
      <c r="B85" s="20"/>
      <c r="C85" s="13"/>
      <c r="D85" s="13"/>
      <c r="E85" s="13"/>
      <c r="F85" s="14">
        <f>SUM(F5:F84)</f>
        <v>36950</v>
      </c>
    </row>
    <row r="86" spans="1:6" ht="15.75" thickTop="1" x14ac:dyDescent="0.25"/>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F9F44-4C75-412D-9990-0576E2B67880}">
  <dimension ref="A1:J176"/>
  <sheetViews>
    <sheetView zoomScale="85" zoomScaleNormal="85" workbookViewId="0">
      <selection activeCell="E10" sqref="E10"/>
    </sheetView>
  </sheetViews>
  <sheetFormatPr defaultRowHeight="15" x14ac:dyDescent="0.25"/>
  <cols>
    <col min="1" max="1" width="67" customWidth="1"/>
    <col min="2" max="2" width="14.140625" style="16" customWidth="1"/>
    <col min="3" max="3" width="18" customWidth="1"/>
    <col min="4" max="4" width="37" customWidth="1"/>
    <col min="5" max="5" width="13" customWidth="1"/>
    <col min="6" max="6" width="16.85546875" style="16" customWidth="1"/>
    <col min="7" max="7" width="19" customWidth="1"/>
    <col min="8" max="8" width="18" customWidth="1"/>
    <col min="9" max="9" width="21.7109375" customWidth="1"/>
    <col min="10" max="10" width="16.42578125" customWidth="1"/>
  </cols>
  <sheetData>
    <row r="1" spans="1:10" ht="21" x14ac:dyDescent="0.35">
      <c r="A1" s="1" t="s">
        <v>0</v>
      </c>
    </row>
    <row r="2" spans="1:10" x14ac:dyDescent="0.25">
      <c r="A2" s="21" t="s">
        <v>433</v>
      </c>
    </row>
    <row r="4" spans="1:10" x14ac:dyDescent="0.25">
      <c r="A4" s="3" t="s">
        <v>431</v>
      </c>
      <c r="B4" s="17" t="s">
        <v>486</v>
      </c>
      <c r="C4" s="3" t="s">
        <v>437</v>
      </c>
      <c r="D4" s="3" t="s">
        <v>434</v>
      </c>
      <c r="E4" s="3" t="s">
        <v>2</v>
      </c>
      <c r="F4" s="26" t="s">
        <v>439</v>
      </c>
      <c r="G4" s="3" t="s">
        <v>444</v>
      </c>
      <c r="H4" s="25" t="s">
        <v>443</v>
      </c>
      <c r="I4" s="25" t="s">
        <v>448</v>
      </c>
      <c r="J4" s="3" t="s">
        <v>484</v>
      </c>
    </row>
    <row r="5" spans="1:10" x14ac:dyDescent="0.25">
      <c r="A5" s="4" t="s">
        <v>429</v>
      </c>
      <c r="B5" s="18">
        <v>46037</v>
      </c>
      <c r="C5" s="4" t="s">
        <v>12</v>
      </c>
      <c r="D5" s="5" t="s">
        <v>13</v>
      </c>
      <c r="E5" s="4" t="s">
        <v>99</v>
      </c>
      <c r="F5" s="18">
        <f>_xlfn.XLOOKUP(E5, Inbound_Batch!$A$5:$A$324, Inbound_Batch!$F$5:$F$324,,0)</f>
        <v>46357</v>
      </c>
      <c r="G5" s="6">
        <v>300</v>
      </c>
      <c r="H5" s="7">
        <v>29000</v>
      </c>
      <c r="I5" s="7">
        <f>G5*H5</f>
        <v>8700000</v>
      </c>
      <c r="J5" t="str">
        <f>IF(F5 &lt;= _xlfn.MINIFS($F$5:$F$174, $C$5:$C$174, C5), "Compliant", "Non-Compliant")</f>
        <v>Compliant</v>
      </c>
    </row>
    <row r="6" spans="1:10" x14ac:dyDescent="0.25">
      <c r="A6" s="8" t="s">
        <v>429</v>
      </c>
      <c r="B6" s="19">
        <v>46037</v>
      </c>
      <c r="C6" s="8" t="s">
        <v>12</v>
      </c>
      <c r="D6" s="9" t="s">
        <v>13</v>
      </c>
      <c r="E6" s="8" t="s">
        <v>301</v>
      </c>
      <c r="F6" s="18">
        <f>_xlfn.XLOOKUP(E6, Inbound_Batch!$A$5:$A$324, Inbound_Batch!$F$5:$F$324,,0)</f>
        <v>46727</v>
      </c>
      <c r="G6" s="10">
        <v>100</v>
      </c>
      <c r="H6" s="11">
        <v>30000</v>
      </c>
      <c r="I6" s="11">
        <f t="shared" ref="I6:I36" si="0">G6*H6</f>
        <v>3000000</v>
      </c>
      <c r="J6" t="str">
        <f t="shared" ref="J6:J69" si="1">IF(F6 &lt;= _xlfn.MINIFS($F$5:$F$174, $C$5:$C$174, C6), "Compliant", "Non-Compliant")</f>
        <v>Non-Compliant</v>
      </c>
    </row>
    <row r="7" spans="1:10" x14ac:dyDescent="0.25">
      <c r="A7" s="4" t="s">
        <v>428</v>
      </c>
      <c r="B7" s="18">
        <v>46081</v>
      </c>
      <c r="C7" s="4" t="s">
        <v>29</v>
      </c>
      <c r="D7" s="5" t="s">
        <v>30</v>
      </c>
      <c r="E7" s="4" t="s">
        <v>205</v>
      </c>
      <c r="F7" s="18">
        <f>_xlfn.XLOOKUP(E7, Inbound_Batch!$A$5:$A$324, Inbound_Batch!$F$5:$F$324,,0)</f>
        <v>45975</v>
      </c>
      <c r="G7" s="6">
        <v>200</v>
      </c>
      <c r="H7" s="7">
        <v>26000</v>
      </c>
      <c r="I7" s="7">
        <f t="shared" si="0"/>
        <v>5200000</v>
      </c>
      <c r="J7" t="str">
        <f t="shared" si="1"/>
        <v>Compliant</v>
      </c>
    </row>
    <row r="8" spans="1:10" x14ac:dyDescent="0.25">
      <c r="A8" s="8" t="s">
        <v>427</v>
      </c>
      <c r="B8" s="19">
        <v>46058</v>
      </c>
      <c r="C8" s="8" t="s">
        <v>4</v>
      </c>
      <c r="D8" s="9" t="s">
        <v>5</v>
      </c>
      <c r="E8" s="8" t="s">
        <v>209</v>
      </c>
      <c r="F8" s="18">
        <f>_xlfn.XLOOKUP(E8, Inbound_Batch!$A$5:$A$324, Inbound_Batch!$F$5:$F$324,,0)</f>
        <v>45913</v>
      </c>
      <c r="G8" s="10">
        <v>200</v>
      </c>
      <c r="H8" s="11">
        <v>81000</v>
      </c>
      <c r="I8" s="11">
        <f t="shared" si="0"/>
        <v>16200000</v>
      </c>
      <c r="J8" t="str">
        <f t="shared" si="1"/>
        <v>Compliant</v>
      </c>
    </row>
    <row r="9" spans="1:10" x14ac:dyDescent="0.25">
      <c r="A9" s="4" t="s">
        <v>427</v>
      </c>
      <c r="B9" s="18">
        <v>46058</v>
      </c>
      <c r="C9" s="4" t="s">
        <v>4</v>
      </c>
      <c r="D9" s="5" t="s">
        <v>5</v>
      </c>
      <c r="E9" s="4" t="s">
        <v>23</v>
      </c>
      <c r="F9" s="18">
        <f>_xlfn.XLOOKUP(E9, Inbound_Batch!$A$5:$A$324, Inbound_Batch!$F$5:$F$324,,0)</f>
        <v>46466</v>
      </c>
      <c r="G9" s="6">
        <v>400</v>
      </c>
      <c r="H9" s="7">
        <v>86000</v>
      </c>
      <c r="I9" s="7">
        <f t="shared" si="0"/>
        <v>34400000</v>
      </c>
      <c r="J9" t="str">
        <f t="shared" si="1"/>
        <v>Non-Compliant</v>
      </c>
    </row>
    <row r="10" spans="1:10" x14ac:dyDescent="0.25">
      <c r="A10" s="8" t="s">
        <v>426</v>
      </c>
      <c r="B10" s="19">
        <v>46122</v>
      </c>
      <c r="C10" s="8" t="s">
        <v>16</v>
      </c>
      <c r="D10" s="9" t="s">
        <v>17</v>
      </c>
      <c r="E10" s="8" t="s">
        <v>160</v>
      </c>
      <c r="F10" s="18">
        <f>_xlfn.XLOOKUP(E10, Inbound_Batch!$A$5:$A$324, Inbound_Batch!$F$5:$F$324,,0)</f>
        <v>46665</v>
      </c>
      <c r="G10" s="10">
        <v>400</v>
      </c>
      <c r="H10" s="11">
        <v>65000</v>
      </c>
      <c r="I10" s="11">
        <f t="shared" si="0"/>
        <v>26000000</v>
      </c>
      <c r="J10" t="str">
        <f t="shared" si="1"/>
        <v>Non-Compliant</v>
      </c>
    </row>
    <row r="11" spans="1:10" x14ac:dyDescent="0.25">
      <c r="A11" s="4" t="s">
        <v>425</v>
      </c>
      <c r="B11" s="18">
        <v>46062</v>
      </c>
      <c r="C11" s="4" t="s">
        <v>45</v>
      </c>
      <c r="D11" s="5" t="s">
        <v>46</v>
      </c>
      <c r="E11" s="4" t="s">
        <v>292</v>
      </c>
      <c r="F11" s="18">
        <f>_xlfn.XLOOKUP(E11, Inbound_Batch!$A$5:$A$324, Inbound_Batch!$F$5:$F$324,,0)</f>
        <v>46734</v>
      </c>
      <c r="G11" s="6">
        <v>150</v>
      </c>
      <c r="H11" s="7">
        <v>96000</v>
      </c>
      <c r="I11" s="7">
        <f t="shared" si="0"/>
        <v>14400000</v>
      </c>
      <c r="J11" t="str">
        <f t="shared" si="1"/>
        <v>Non-Compliant</v>
      </c>
    </row>
    <row r="12" spans="1:10" x14ac:dyDescent="0.25">
      <c r="A12" s="8" t="s">
        <v>424</v>
      </c>
      <c r="B12" s="19">
        <v>46124</v>
      </c>
      <c r="C12" s="8" t="s">
        <v>33</v>
      </c>
      <c r="D12" s="9" t="s">
        <v>34</v>
      </c>
      <c r="E12" s="8" t="s">
        <v>237</v>
      </c>
      <c r="F12" s="18">
        <f>_xlfn.XLOOKUP(E12, Inbound_Batch!$A$5:$A$324, Inbound_Batch!$F$5:$F$324,,0)</f>
        <v>47014</v>
      </c>
      <c r="G12" s="10">
        <v>200</v>
      </c>
      <c r="H12" s="11">
        <v>52000</v>
      </c>
      <c r="I12" s="11">
        <f t="shared" si="0"/>
        <v>10400000</v>
      </c>
      <c r="J12" t="str">
        <f t="shared" si="1"/>
        <v>Non-Compliant</v>
      </c>
    </row>
    <row r="13" spans="1:10" x14ac:dyDescent="0.25">
      <c r="A13" s="4" t="s">
        <v>423</v>
      </c>
      <c r="B13" s="18">
        <v>46078</v>
      </c>
      <c r="C13" s="4" t="s">
        <v>45</v>
      </c>
      <c r="D13" s="5" t="s">
        <v>46</v>
      </c>
      <c r="E13" s="4" t="s">
        <v>292</v>
      </c>
      <c r="F13" s="18">
        <f>_xlfn.XLOOKUP(E13, Inbound_Batch!$A$5:$A$324, Inbound_Batch!$F$5:$F$324,,0)</f>
        <v>46734</v>
      </c>
      <c r="G13" s="6">
        <v>100</v>
      </c>
      <c r="H13" s="7">
        <v>96000</v>
      </c>
      <c r="I13" s="7">
        <f t="shared" si="0"/>
        <v>9600000</v>
      </c>
      <c r="J13" t="str">
        <f t="shared" si="1"/>
        <v>Non-Compliant</v>
      </c>
    </row>
    <row r="14" spans="1:10" x14ac:dyDescent="0.25">
      <c r="A14" s="8" t="s">
        <v>423</v>
      </c>
      <c r="B14" s="19">
        <v>46078</v>
      </c>
      <c r="C14" s="8" t="s">
        <v>45</v>
      </c>
      <c r="D14" s="9" t="s">
        <v>46</v>
      </c>
      <c r="E14" s="8" t="s">
        <v>315</v>
      </c>
      <c r="F14" s="18">
        <f>_xlfn.XLOOKUP(E14, Inbound_Batch!$A$5:$A$324, Inbound_Batch!$F$5:$F$324,,0)</f>
        <v>46370</v>
      </c>
      <c r="G14" s="10">
        <v>100</v>
      </c>
      <c r="H14" s="11">
        <v>85000</v>
      </c>
      <c r="I14" s="11">
        <f t="shared" si="0"/>
        <v>8500000</v>
      </c>
      <c r="J14" t="str">
        <f t="shared" si="1"/>
        <v>Compliant</v>
      </c>
    </row>
    <row r="15" spans="1:10" x14ac:dyDescent="0.25">
      <c r="A15" s="4" t="s">
        <v>423</v>
      </c>
      <c r="B15" s="18">
        <v>46078</v>
      </c>
      <c r="C15" s="4" t="s">
        <v>45</v>
      </c>
      <c r="D15" s="5" t="s">
        <v>46</v>
      </c>
      <c r="E15" s="4" t="s">
        <v>284</v>
      </c>
      <c r="F15" s="18">
        <f>_xlfn.XLOOKUP(E15, Inbound_Batch!$A$5:$A$324, Inbound_Batch!$F$5:$F$324,,0)</f>
        <v>46460</v>
      </c>
      <c r="G15" s="6">
        <v>500</v>
      </c>
      <c r="H15" s="7">
        <v>98000</v>
      </c>
      <c r="I15" s="7">
        <f t="shared" si="0"/>
        <v>49000000</v>
      </c>
      <c r="J15" t="str">
        <f t="shared" si="1"/>
        <v>Non-Compliant</v>
      </c>
    </row>
    <row r="16" spans="1:10" x14ac:dyDescent="0.25">
      <c r="A16" s="8" t="s">
        <v>423</v>
      </c>
      <c r="B16" s="19">
        <v>46078</v>
      </c>
      <c r="C16" s="8" t="s">
        <v>45</v>
      </c>
      <c r="D16" s="9" t="s">
        <v>46</v>
      </c>
      <c r="E16" s="8" t="s">
        <v>149</v>
      </c>
      <c r="F16" s="18">
        <f>_xlfn.XLOOKUP(E16, Inbound_Batch!$A$5:$A$324, Inbound_Batch!$F$5:$F$324,,0)</f>
        <v>46469</v>
      </c>
      <c r="G16" s="10">
        <v>200</v>
      </c>
      <c r="H16" s="11">
        <v>92000</v>
      </c>
      <c r="I16" s="11">
        <f t="shared" si="0"/>
        <v>18400000</v>
      </c>
      <c r="J16" t="str">
        <f t="shared" si="1"/>
        <v>Non-Compliant</v>
      </c>
    </row>
    <row r="17" spans="1:10" x14ac:dyDescent="0.25">
      <c r="A17" s="4" t="s">
        <v>423</v>
      </c>
      <c r="B17" s="18">
        <v>46078</v>
      </c>
      <c r="C17" s="4" t="s">
        <v>45</v>
      </c>
      <c r="D17" s="5" t="s">
        <v>46</v>
      </c>
      <c r="E17" s="4" t="s">
        <v>319</v>
      </c>
      <c r="F17" s="18">
        <f>_xlfn.XLOOKUP(E17, Inbound_Batch!$A$5:$A$324, Inbound_Batch!$F$5:$F$324,,0)</f>
        <v>46519</v>
      </c>
      <c r="G17" s="6">
        <v>100</v>
      </c>
      <c r="H17" s="7">
        <v>89000</v>
      </c>
      <c r="I17" s="7">
        <f t="shared" si="0"/>
        <v>8900000</v>
      </c>
      <c r="J17" t="str">
        <f t="shared" si="1"/>
        <v>Non-Compliant</v>
      </c>
    </row>
    <row r="18" spans="1:10" x14ac:dyDescent="0.25">
      <c r="A18" s="8" t="s">
        <v>422</v>
      </c>
      <c r="B18" s="19">
        <v>46116</v>
      </c>
      <c r="C18" s="8" t="s">
        <v>29</v>
      </c>
      <c r="D18" s="9" t="s">
        <v>30</v>
      </c>
      <c r="E18" s="8" t="s">
        <v>205</v>
      </c>
      <c r="F18" s="18">
        <f>_xlfn.XLOOKUP(E18, Inbound_Batch!$A$5:$A$324, Inbound_Batch!$F$5:$F$324,,0)</f>
        <v>45975</v>
      </c>
      <c r="G18" s="10">
        <v>150</v>
      </c>
      <c r="H18" s="11">
        <v>26000</v>
      </c>
      <c r="I18" s="11">
        <f t="shared" si="0"/>
        <v>3900000</v>
      </c>
      <c r="J18" t="str">
        <f t="shared" si="1"/>
        <v>Compliant</v>
      </c>
    </row>
    <row r="19" spans="1:10" x14ac:dyDescent="0.25">
      <c r="A19" s="4" t="s">
        <v>421</v>
      </c>
      <c r="B19" s="18">
        <v>46073</v>
      </c>
      <c r="C19" s="4" t="s">
        <v>33</v>
      </c>
      <c r="D19" s="5" t="s">
        <v>34</v>
      </c>
      <c r="E19" s="4" t="s">
        <v>237</v>
      </c>
      <c r="F19" s="18">
        <f>_xlfn.XLOOKUP(E19, Inbound_Batch!$A$5:$A$324, Inbound_Batch!$F$5:$F$324,,0)</f>
        <v>47014</v>
      </c>
      <c r="G19" s="6">
        <v>100</v>
      </c>
      <c r="H19" s="7">
        <v>52000</v>
      </c>
      <c r="I19" s="7">
        <f t="shared" si="0"/>
        <v>5200000</v>
      </c>
      <c r="J19" t="str">
        <f t="shared" si="1"/>
        <v>Non-Compliant</v>
      </c>
    </row>
    <row r="20" spans="1:10" x14ac:dyDescent="0.25">
      <c r="A20" s="8" t="s">
        <v>421</v>
      </c>
      <c r="B20" s="19">
        <v>46073</v>
      </c>
      <c r="C20" s="8" t="s">
        <v>33</v>
      </c>
      <c r="D20" s="9" t="s">
        <v>34</v>
      </c>
      <c r="E20" s="8" t="s">
        <v>151</v>
      </c>
      <c r="F20" s="18">
        <f>_xlfn.XLOOKUP(E20, Inbound_Batch!$A$5:$A$324, Inbound_Batch!$F$5:$F$324,,0)</f>
        <v>46668</v>
      </c>
      <c r="G20" s="10">
        <v>250</v>
      </c>
      <c r="H20" s="11">
        <v>61000</v>
      </c>
      <c r="I20" s="11">
        <f t="shared" si="0"/>
        <v>15250000</v>
      </c>
      <c r="J20" t="str">
        <f t="shared" si="1"/>
        <v>Non-Compliant</v>
      </c>
    </row>
    <row r="21" spans="1:10" x14ac:dyDescent="0.25">
      <c r="A21" s="4" t="s">
        <v>421</v>
      </c>
      <c r="B21" s="18">
        <v>46073</v>
      </c>
      <c r="C21" s="4" t="s">
        <v>33</v>
      </c>
      <c r="D21" s="5" t="s">
        <v>34</v>
      </c>
      <c r="E21" s="4" t="s">
        <v>121</v>
      </c>
      <c r="F21" s="18">
        <f>_xlfn.XLOOKUP(E21, Inbound_Batch!$A$5:$A$324, Inbound_Batch!$F$5:$F$324,,0)</f>
        <v>47060</v>
      </c>
      <c r="G21" s="6">
        <v>50</v>
      </c>
      <c r="H21" s="7">
        <v>53000</v>
      </c>
      <c r="I21" s="7">
        <f t="shared" si="0"/>
        <v>2650000</v>
      </c>
      <c r="J21" t="str">
        <f t="shared" si="1"/>
        <v>Non-Compliant</v>
      </c>
    </row>
    <row r="22" spans="1:10" x14ac:dyDescent="0.25">
      <c r="A22" s="8" t="s">
        <v>420</v>
      </c>
      <c r="B22" s="19">
        <v>46060</v>
      </c>
      <c r="C22" s="8" t="s">
        <v>25</v>
      </c>
      <c r="D22" s="9" t="s">
        <v>26</v>
      </c>
      <c r="E22" s="8" t="s">
        <v>130</v>
      </c>
      <c r="F22" s="18">
        <f>_xlfn.XLOOKUP(E22, Inbound_Batch!$A$5:$A$324, Inbound_Batch!$F$5:$F$324,,0)</f>
        <v>47075</v>
      </c>
      <c r="G22" s="10">
        <v>200</v>
      </c>
      <c r="H22" s="11">
        <v>65000</v>
      </c>
      <c r="I22" s="11">
        <f t="shared" si="0"/>
        <v>13000000</v>
      </c>
      <c r="J22" t="str">
        <f t="shared" si="1"/>
        <v>Non-Compliant</v>
      </c>
    </row>
    <row r="23" spans="1:10" x14ac:dyDescent="0.25">
      <c r="A23" s="4" t="s">
        <v>420</v>
      </c>
      <c r="B23" s="18">
        <v>46060</v>
      </c>
      <c r="C23" s="4" t="s">
        <v>25</v>
      </c>
      <c r="D23" s="5" t="s">
        <v>26</v>
      </c>
      <c r="E23" s="4" t="s">
        <v>41</v>
      </c>
      <c r="F23" s="18">
        <f>_xlfn.XLOOKUP(E23, Inbound_Batch!$A$5:$A$324, Inbound_Batch!$F$5:$F$324,,0)</f>
        <v>46363</v>
      </c>
      <c r="G23" s="6">
        <v>100</v>
      </c>
      <c r="H23" s="7">
        <v>59000</v>
      </c>
      <c r="I23" s="7">
        <f t="shared" si="0"/>
        <v>5900000</v>
      </c>
      <c r="J23" t="str">
        <f t="shared" si="1"/>
        <v>Compliant</v>
      </c>
    </row>
    <row r="24" spans="1:10" x14ac:dyDescent="0.25">
      <c r="A24" s="8" t="s">
        <v>419</v>
      </c>
      <c r="B24" s="19">
        <v>46096</v>
      </c>
      <c r="C24" s="8" t="s">
        <v>53</v>
      </c>
      <c r="D24" s="9" t="s">
        <v>54</v>
      </c>
      <c r="E24" s="8" t="s">
        <v>97</v>
      </c>
      <c r="F24" s="18">
        <f>_xlfn.XLOOKUP(E24, Inbound_Batch!$A$5:$A$324, Inbound_Batch!$F$5:$F$324,,0)</f>
        <v>46477</v>
      </c>
      <c r="G24" s="10">
        <v>250</v>
      </c>
      <c r="H24" s="11">
        <v>54000</v>
      </c>
      <c r="I24" s="11">
        <f t="shared" si="0"/>
        <v>13500000</v>
      </c>
      <c r="J24" t="str">
        <f t="shared" si="1"/>
        <v>Non-Compliant</v>
      </c>
    </row>
    <row r="25" spans="1:10" x14ac:dyDescent="0.25">
      <c r="A25" s="4" t="s">
        <v>419</v>
      </c>
      <c r="B25" s="18">
        <v>46096</v>
      </c>
      <c r="C25" s="4" t="s">
        <v>53</v>
      </c>
      <c r="D25" s="5" t="s">
        <v>54</v>
      </c>
      <c r="E25" s="4" t="s">
        <v>212</v>
      </c>
      <c r="F25" s="18">
        <f>_xlfn.XLOOKUP(E25, Inbound_Batch!$A$5:$A$324, Inbound_Batch!$F$5:$F$324,,0)</f>
        <v>46121</v>
      </c>
      <c r="G25" s="6">
        <v>200</v>
      </c>
      <c r="H25" s="7">
        <v>49000</v>
      </c>
      <c r="I25" s="7">
        <f t="shared" si="0"/>
        <v>9800000</v>
      </c>
      <c r="J25" t="str">
        <f t="shared" si="1"/>
        <v>Compliant</v>
      </c>
    </row>
    <row r="26" spans="1:10" x14ac:dyDescent="0.25">
      <c r="A26" s="8" t="s">
        <v>419</v>
      </c>
      <c r="B26" s="19">
        <v>46096</v>
      </c>
      <c r="C26" s="8" t="s">
        <v>53</v>
      </c>
      <c r="D26" s="9" t="s">
        <v>54</v>
      </c>
      <c r="E26" s="8" t="s">
        <v>278</v>
      </c>
      <c r="F26" s="18">
        <f>_xlfn.XLOOKUP(E26, Inbound_Batch!$A$5:$A$324, Inbound_Batch!$F$5:$F$324,,0)</f>
        <v>46168</v>
      </c>
      <c r="G26" s="10">
        <v>300</v>
      </c>
      <c r="H26" s="11">
        <v>58000</v>
      </c>
      <c r="I26" s="11">
        <f t="shared" si="0"/>
        <v>17400000</v>
      </c>
      <c r="J26" t="str">
        <f t="shared" si="1"/>
        <v>Non-Compliant</v>
      </c>
    </row>
    <row r="27" spans="1:10" x14ac:dyDescent="0.25">
      <c r="A27" s="4" t="s">
        <v>419</v>
      </c>
      <c r="B27" s="18">
        <v>46096</v>
      </c>
      <c r="C27" s="4" t="s">
        <v>53</v>
      </c>
      <c r="D27" s="5" t="s">
        <v>54</v>
      </c>
      <c r="E27" s="4" t="s">
        <v>173</v>
      </c>
      <c r="F27" s="18">
        <f>_xlfn.XLOOKUP(E27, Inbound_Batch!$A$5:$A$324, Inbound_Batch!$F$5:$F$324,,0)</f>
        <v>46584</v>
      </c>
      <c r="G27" s="6">
        <v>50</v>
      </c>
      <c r="H27" s="7">
        <v>52000</v>
      </c>
      <c r="I27" s="7">
        <f t="shared" si="0"/>
        <v>2600000</v>
      </c>
      <c r="J27" t="str">
        <f t="shared" si="1"/>
        <v>Non-Compliant</v>
      </c>
    </row>
    <row r="28" spans="1:10" x14ac:dyDescent="0.25">
      <c r="A28" s="8" t="s">
        <v>418</v>
      </c>
      <c r="B28" s="19">
        <v>46125</v>
      </c>
      <c r="C28" s="8" t="s">
        <v>33</v>
      </c>
      <c r="D28" s="9" t="s">
        <v>34</v>
      </c>
      <c r="E28" s="8" t="s">
        <v>121</v>
      </c>
      <c r="F28" s="18">
        <f>_xlfn.XLOOKUP(E28, Inbound_Batch!$A$5:$A$324, Inbound_Batch!$F$5:$F$324,,0)</f>
        <v>47060</v>
      </c>
      <c r="G28" s="10">
        <v>150</v>
      </c>
      <c r="H28" s="11">
        <v>53000</v>
      </c>
      <c r="I28" s="11">
        <f t="shared" si="0"/>
        <v>7950000</v>
      </c>
      <c r="J28" t="str">
        <f t="shared" si="1"/>
        <v>Non-Compliant</v>
      </c>
    </row>
    <row r="29" spans="1:10" x14ac:dyDescent="0.25">
      <c r="A29" s="4" t="s">
        <v>418</v>
      </c>
      <c r="B29" s="18">
        <v>46125</v>
      </c>
      <c r="C29" s="4" t="s">
        <v>33</v>
      </c>
      <c r="D29" s="5" t="s">
        <v>34</v>
      </c>
      <c r="E29" s="4" t="s">
        <v>241</v>
      </c>
      <c r="F29" s="18">
        <f>_xlfn.XLOOKUP(E29, Inbound_Batch!$A$5:$A$324, Inbound_Batch!$F$5:$F$324,,0)</f>
        <v>47105</v>
      </c>
      <c r="G29" s="6">
        <v>50</v>
      </c>
      <c r="H29" s="7">
        <v>53000</v>
      </c>
      <c r="I29" s="7">
        <f t="shared" si="0"/>
        <v>2650000</v>
      </c>
      <c r="J29" t="str">
        <f t="shared" si="1"/>
        <v>Non-Compliant</v>
      </c>
    </row>
    <row r="30" spans="1:10" x14ac:dyDescent="0.25">
      <c r="A30" s="8" t="s">
        <v>417</v>
      </c>
      <c r="B30" s="19">
        <v>46072</v>
      </c>
      <c r="C30" s="8" t="s">
        <v>8</v>
      </c>
      <c r="D30" s="9" t="s">
        <v>9</v>
      </c>
      <c r="E30" s="8" t="s">
        <v>277</v>
      </c>
      <c r="F30" s="18">
        <f>_xlfn.XLOOKUP(E30, Inbound_Batch!$A$5:$A$324, Inbound_Batch!$F$5:$F$324,,0)</f>
        <v>45942</v>
      </c>
      <c r="G30" s="10">
        <v>200</v>
      </c>
      <c r="H30" s="11">
        <v>36000</v>
      </c>
      <c r="I30" s="11">
        <f t="shared" si="0"/>
        <v>7200000</v>
      </c>
      <c r="J30" t="str">
        <f t="shared" si="1"/>
        <v>Compliant</v>
      </c>
    </row>
    <row r="31" spans="1:10" x14ac:dyDescent="0.25">
      <c r="A31" s="4" t="s">
        <v>416</v>
      </c>
      <c r="B31" s="18">
        <v>46091</v>
      </c>
      <c r="C31" s="4" t="s">
        <v>19</v>
      </c>
      <c r="D31" s="5" t="s">
        <v>20</v>
      </c>
      <c r="E31" s="4" t="s">
        <v>274</v>
      </c>
      <c r="F31" s="18">
        <f>_xlfn.XLOOKUP(E31, Inbound_Batch!$A$5:$A$324, Inbound_Batch!$F$5:$F$324,,0)</f>
        <v>45964</v>
      </c>
      <c r="G31" s="6">
        <v>200</v>
      </c>
      <c r="H31" s="7">
        <v>50000</v>
      </c>
      <c r="I31" s="7">
        <f t="shared" si="0"/>
        <v>10000000</v>
      </c>
      <c r="J31" t="str">
        <f t="shared" si="1"/>
        <v>Compliant</v>
      </c>
    </row>
    <row r="32" spans="1:10" x14ac:dyDescent="0.25">
      <c r="A32" s="8" t="s">
        <v>415</v>
      </c>
      <c r="B32" s="19">
        <v>46083</v>
      </c>
      <c r="C32" s="8" t="s">
        <v>16</v>
      </c>
      <c r="D32" s="9" t="s">
        <v>17</v>
      </c>
      <c r="E32" s="8" t="s">
        <v>160</v>
      </c>
      <c r="F32" s="18">
        <f>_xlfn.XLOOKUP(E32, Inbound_Batch!$A$5:$A$324, Inbound_Batch!$F$5:$F$324,,0)</f>
        <v>46665</v>
      </c>
      <c r="G32" s="10">
        <v>100</v>
      </c>
      <c r="H32" s="11">
        <v>65000</v>
      </c>
      <c r="I32" s="11">
        <f t="shared" si="0"/>
        <v>6500000</v>
      </c>
      <c r="J32" t="str">
        <f t="shared" si="1"/>
        <v>Non-Compliant</v>
      </c>
    </row>
    <row r="33" spans="1:10" x14ac:dyDescent="0.25">
      <c r="A33" s="4" t="s">
        <v>415</v>
      </c>
      <c r="B33" s="18">
        <v>46083</v>
      </c>
      <c r="C33" s="4" t="s">
        <v>16</v>
      </c>
      <c r="D33" s="5" t="s">
        <v>17</v>
      </c>
      <c r="E33" s="4" t="s">
        <v>215</v>
      </c>
      <c r="F33" s="18">
        <f>_xlfn.XLOOKUP(E33, Inbound_Batch!$A$5:$A$324, Inbound_Batch!$F$5:$F$324,,0)</f>
        <v>46350</v>
      </c>
      <c r="G33" s="6">
        <v>50</v>
      </c>
      <c r="H33" s="7">
        <v>66000</v>
      </c>
      <c r="I33" s="7">
        <f t="shared" si="0"/>
        <v>3300000</v>
      </c>
      <c r="J33" t="str">
        <f t="shared" si="1"/>
        <v>Compliant</v>
      </c>
    </row>
    <row r="34" spans="1:10" x14ac:dyDescent="0.25">
      <c r="A34" s="8" t="s">
        <v>414</v>
      </c>
      <c r="B34" s="19">
        <v>46069</v>
      </c>
      <c r="C34" s="8" t="s">
        <v>8</v>
      </c>
      <c r="D34" s="9" t="s">
        <v>9</v>
      </c>
      <c r="E34" s="8" t="s">
        <v>276</v>
      </c>
      <c r="F34" s="18">
        <f>_xlfn.XLOOKUP(E34, Inbound_Batch!$A$5:$A$324, Inbound_Batch!$F$5:$F$324,,0)</f>
        <v>45950</v>
      </c>
      <c r="G34" s="10">
        <v>250</v>
      </c>
      <c r="H34" s="11">
        <v>38000</v>
      </c>
      <c r="I34" s="11">
        <f t="shared" si="0"/>
        <v>9500000</v>
      </c>
      <c r="J34" t="str">
        <f t="shared" si="1"/>
        <v>Non-Compliant</v>
      </c>
    </row>
    <row r="35" spans="1:10" x14ac:dyDescent="0.25">
      <c r="A35" s="4" t="s">
        <v>414</v>
      </c>
      <c r="B35" s="18">
        <v>46069</v>
      </c>
      <c r="C35" s="4" t="s">
        <v>8</v>
      </c>
      <c r="D35" s="5" t="s">
        <v>9</v>
      </c>
      <c r="E35" s="4" t="s">
        <v>75</v>
      </c>
      <c r="F35" s="18">
        <f>_xlfn.XLOOKUP(E35, Inbound_Batch!$A$5:$A$324, Inbound_Batch!$F$5:$F$324,,0)</f>
        <v>46365</v>
      </c>
      <c r="G35" s="6">
        <v>550</v>
      </c>
      <c r="H35" s="7">
        <v>34000</v>
      </c>
      <c r="I35" s="7">
        <f t="shared" si="0"/>
        <v>18700000</v>
      </c>
      <c r="J35" t="str">
        <f t="shared" si="1"/>
        <v>Non-Compliant</v>
      </c>
    </row>
    <row r="36" spans="1:10" x14ac:dyDescent="0.25">
      <c r="A36" s="8" t="s">
        <v>413</v>
      </c>
      <c r="B36" s="19">
        <v>46117</v>
      </c>
      <c r="C36" s="8" t="s">
        <v>16</v>
      </c>
      <c r="D36" s="9" t="s">
        <v>17</v>
      </c>
      <c r="E36" s="8" t="s">
        <v>215</v>
      </c>
      <c r="F36" s="18">
        <f>_xlfn.XLOOKUP(E36, Inbound_Batch!$A$5:$A$324, Inbound_Batch!$F$5:$F$324,,0)</f>
        <v>46350</v>
      </c>
      <c r="G36" s="10">
        <v>200</v>
      </c>
      <c r="H36" s="11">
        <v>66000</v>
      </c>
      <c r="I36" s="11">
        <f t="shared" si="0"/>
        <v>13200000</v>
      </c>
      <c r="J36" t="str">
        <f t="shared" si="1"/>
        <v>Compliant</v>
      </c>
    </row>
    <row r="37" spans="1:10" x14ac:dyDescent="0.25">
      <c r="A37" s="4" t="s">
        <v>413</v>
      </c>
      <c r="B37" s="18">
        <v>46117</v>
      </c>
      <c r="C37" s="4" t="s">
        <v>16</v>
      </c>
      <c r="D37" s="5" t="s">
        <v>17</v>
      </c>
      <c r="E37" s="4" t="s">
        <v>342</v>
      </c>
      <c r="F37" s="18">
        <f>_xlfn.XLOOKUP(E37, Inbound_Batch!$A$5:$A$324, Inbound_Batch!$F$5:$F$324,,0)</f>
        <v>46369</v>
      </c>
      <c r="G37" s="6">
        <v>100</v>
      </c>
      <c r="H37" s="7">
        <v>68000</v>
      </c>
      <c r="I37" s="7">
        <f t="shared" ref="I37:I68" si="2">G37*H37</f>
        <v>6800000</v>
      </c>
      <c r="J37" t="str">
        <f t="shared" si="1"/>
        <v>Non-Compliant</v>
      </c>
    </row>
    <row r="38" spans="1:10" x14ac:dyDescent="0.25">
      <c r="A38" s="8" t="s">
        <v>413</v>
      </c>
      <c r="B38" s="19">
        <v>46117</v>
      </c>
      <c r="C38" s="8" t="s">
        <v>16</v>
      </c>
      <c r="D38" s="9" t="s">
        <v>17</v>
      </c>
      <c r="E38" s="8" t="s">
        <v>313</v>
      </c>
      <c r="F38" s="18">
        <f>_xlfn.XLOOKUP(E38, Inbound_Batch!$A$5:$A$324, Inbound_Batch!$F$5:$F$324,,0)</f>
        <v>46406</v>
      </c>
      <c r="G38" s="10">
        <v>250</v>
      </c>
      <c r="H38" s="11">
        <v>67000</v>
      </c>
      <c r="I38" s="11">
        <f t="shared" si="2"/>
        <v>16750000</v>
      </c>
      <c r="J38" t="str">
        <f t="shared" si="1"/>
        <v>Non-Compliant</v>
      </c>
    </row>
    <row r="39" spans="1:10" x14ac:dyDescent="0.25">
      <c r="A39" s="4" t="s">
        <v>413</v>
      </c>
      <c r="B39" s="18">
        <v>46117</v>
      </c>
      <c r="C39" s="4" t="s">
        <v>16</v>
      </c>
      <c r="D39" s="5" t="s">
        <v>17</v>
      </c>
      <c r="E39" s="4" t="s">
        <v>328</v>
      </c>
      <c r="F39" s="18">
        <f>_xlfn.XLOOKUP(E39, Inbound_Batch!$A$5:$A$324, Inbound_Batch!$F$5:$F$324,,0)</f>
        <v>46424</v>
      </c>
      <c r="G39" s="6">
        <v>50</v>
      </c>
      <c r="H39" s="7">
        <v>69000</v>
      </c>
      <c r="I39" s="7">
        <f t="shared" si="2"/>
        <v>3450000</v>
      </c>
      <c r="J39" t="str">
        <f t="shared" si="1"/>
        <v>Non-Compliant</v>
      </c>
    </row>
    <row r="40" spans="1:10" x14ac:dyDescent="0.25">
      <c r="A40" s="8" t="s">
        <v>412</v>
      </c>
      <c r="B40" s="19">
        <v>46051</v>
      </c>
      <c r="C40" s="8" t="s">
        <v>16</v>
      </c>
      <c r="D40" s="9" t="s">
        <v>17</v>
      </c>
      <c r="E40" s="8" t="s">
        <v>328</v>
      </c>
      <c r="F40" s="18">
        <f>_xlfn.XLOOKUP(E40, Inbound_Batch!$A$5:$A$324, Inbound_Batch!$F$5:$F$324,,0)</f>
        <v>46424</v>
      </c>
      <c r="G40" s="10">
        <v>300</v>
      </c>
      <c r="H40" s="11">
        <v>69000</v>
      </c>
      <c r="I40" s="11">
        <f t="shared" si="2"/>
        <v>20700000</v>
      </c>
      <c r="J40" t="str">
        <f t="shared" si="1"/>
        <v>Non-Compliant</v>
      </c>
    </row>
    <row r="41" spans="1:10" x14ac:dyDescent="0.25">
      <c r="A41" s="4" t="s">
        <v>411</v>
      </c>
      <c r="B41" s="18">
        <v>46068</v>
      </c>
      <c r="C41" s="4" t="s">
        <v>4</v>
      </c>
      <c r="D41" s="5" t="s">
        <v>5</v>
      </c>
      <c r="E41" s="4" t="s">
        <v>23</v>
      </c>
      <c r="F41" s="18">
        <f>_xlfn.XLOOKUP(E41, Inbound_Batch!$A$5:$A$324, Inbound_Batch!$F$5:$F$324,,0)</f>
        <v>46466</v>
      </c>
      <c r="G41" s="6">
        <v>300</v>
      </c>
      <c r="H41" s="7">
        <v>86000</v>
      </c>
      <c r="I41" s="7">
        <f t="shared" si="2"/>
        <v>25800000</v>
      </c>
      <c r="J41" t="str">
        <f t="shared" si="1"/>
        <v>Non-Compliant</v>
      </c>
    </row>
    <row r="42" spans="1:10" x14ac:dyDescent="0.25">
      <c r="A42" s="8" t="s">
        <v>410</v>
      </c>
      <c r="B42" s="19">
        <v>46109</v>
      </c>
      <c r="C42" s="8" t="s">
        <v>33</v>
      </c>
      <c r="D42" s="9" t="s">
        <v>34</v>
      </c>
      <c r="E42" s="8" t="s">
        <v>241</v>
      </c>
      <c r="F42" s="18">
        <f>_xlfn.XLOOKUP(E42, Inbound_Batch!$A$5:$A$324, Inbound_Batch!$F$5:$F$324,,0)</f>
        <v>47105</v>
      </c>
      <c r="G42" s="10">
        <v>150</v>
      </c>
      <c r="H42" s="11">
        <v>53000</v>
      </c>
      <c r="I42" s="11">
        <f t="shared" si="2"/>
        <v>7950000</v>
      </c>
      <c r="J42" t="str">
        <f t="shared" si="1"/>
        <v>Non-Compliant</v>
      </c>
    </row>
    <row r="43" spans="1:10" x14ac:dyDescent="0.25">
      <c r="A43" s="4" t="s">
        <v>410</v>
      </c>
      <c r="B43" s="18">
        <v>46109</v>
      </c>
      <c r="C43" s="4" t="s">
        <v>33</v>
      </c>
      <c r="D43" s="5" t="s">
        <v>34</v>
      </c>
      <c r="E43" s="4" t="s">
        <v>275</v>
      </c>
      <c r="F43" s="18">
        <f>_xlfn.XLOOKUP(E43, Inbound_Batch!$A$5:$A$324, Inbound_Batch!$F$5:$F$324,,0)</f>
        <v>46020</v>
      </c>
      <c r="G43" s="6">
        <v>450</v>
      </c>
      <c r="H43" s="7">
        <v>55000</v>
      </c>
      <c r="I43" s="7">
        <f t="shared" si="2"/>
        <v>24750000</v>
      </c>
      <c r="J43" t="str">
        <f t="shared" si="1"/>
        <v>Compliant</v>
      </c>
    </row>
    <row r="44" spans="1:10" x14ac:dyDescent="0.25">
      <c r="A44" s="8" t="s">
        <v>409</v>
      </c>
      <c r="B44" s="19">
        <v>46061</v>
      </c>
      <c r="C44" s="8" t="s">
        <v>45</v>
      </c>
      <c r="D44" s="9" t="s">
        <v>46</v>
      </c>
      <c r="E44" s="8" t="s">
        <v>332</v>
      </c>
      <c r="F44" s="18">
        <f>_xlfn.XLOOKUP(E44, Inbound_Batch!$A$5:$A$324, Inbound_Batch!$F$5:$F$324,,0)</f>
        <v>46519</v>
      </c>
      <c r="G44" s="10">
        <v>200</v>
      </c>
      <c r="H44" s="11">
        <v>90000</v>
      </c>
      <c r="I44" s="11">
        <f t="shared" si="2"/>
        <v>18000000</v>
      </c>
      <c r="J44" t="str">
        <f t="shared" si="1"/>
        <v>Non-Compliant</v>
      </c>
    </row>
    <row r="45" spans="1:10" x14ac:dyDescent="0.25">
      <c r="A45" s="4" t="s">
        <v>408</v>
      </c>
      <c r="B45" s="18">
        <v>46043</v>
      </c>
      <c r="C45" s="4" t="s">
        <v>8</v>
      </c>
      <c r="D45" s="5" t="s">
        <v>9</v>
      </c>
      <c r="E45" s="4" t="s">
        <v>75</v>
      </c>
      <c r="F45" s="18">
        <f>_xlfn.XLOOKUP(E45, Inbound_Batch!$A$5:$A$324, Inbound_Batch!$F$5:$F$324,,0)</f>
        <v>46365</v>
      </c>
      <c r="G45" s="6">
        <v>450</v>
      </c>
      <c r="H45" s="7">
        <v>34000</v>
      </c>
      <c r="I45" s="7">
        <f t="shared" si="2"/>
        <v>15300000</v>
      </c>
      <c r="J45" t="str">
        <f t="shared" si="1"/>
        <v>Non-Compliant</v>
      </c>
    </row>
    <row r="46" spans="1:10" x14ac:dyDescent="0.25">
      <c r="A46" s="8" t="s">
        <v>408</v>
      </c>
      <c r="B46" s="19">
        <v>46043</v>
      </c>
      <c r="C46" s="8" t="s">
        <v>8</v>
      </c>
      <c r="D46" s="9" t="s">
        <v>9</v>
      </c>
      <c r="E46" s="8" t="s">
        <v>297</v>
      </c>
      <c r="F46" s="18">
        <f>_xlfn.XLOOKUP(E46, Inbound_Batch!$A$5:$A$324, Inbound_Batch!$F$5:$F$324,,0)</f>
        <v>46741</v>
      </c>
      <c r="G46" s="10">
        <v>50</v>
      </c>
      <c r="H46" s="11">
        <v>38000</v>
      </c>
      <c r="I46" s="11">
        <f t="shared" si="2"/>
        <v>1900000</v>
      </c>
      <c r="J46" t="str">
        <f t="shared" si="1"/>
        <v>Non-Compliant</v>
      </c>
    </row>
    <row r="47" spans="1:10" x14ac:dyDescent="0.25">
      <c r="A47" s="4" t="s">
        <v>407</v>
      </c>
      <c r="B47" s="18">
        <v>46103</v>
      </c>
      <c r="C47" s="4" t="s">
        <v>25</v>
      </c>
      <c r="D47" s="5" t="s">
        <v>26</v>
      </c>
      <c r="E47" s="4" t="s">
        <v>41</v>
      </c>
      <c r="F47" s="18">
        <f>_xlfn.XLOOKUP(E47, Inbound_Batch!$A$5:$A$324, Inbound_Batch!$F$5:$F$324,,0)</f>
        <v>46363</v>
      </c>
      <c r="G47" s="6">
        <v>200</v>
      </c>
      <c r="H47" s="7">
        <v>59000</v>
      </c>
      <c r="I47" s="7">
        <f t="shared" si="2"/>
        <v>11800000</v>
      </c>
      <c r="J47" t="str">
        <f t="shared" si="1"/>
        <v>Compliant</v>
      </c>
    </row>
    <row r="48" spans="1:10" x14ac:dyDescent="0.25">
      <c r="A48" s="8" t="s">
        <v>406</v>
      </c>
      <c r="B48" s="19">
        <v>46075</v>
      </c>
      <c r="C48" s="8" t="s">
        <v>12</v>
      </c>
      <c r="D48" s="9" t="s">
        <v>13</v>
      </c>
      <c r="E48" s="8" t="s">
        <v>301</v>
      </c>
      <c r="F48" s="18">
        <f>_xlfn.XLOOKUP(E48, Inbound_Batch!$A$5:$A$324, Inbound_Batch!$F$5:$F$324,,0)</f>
        <v>46727</v>
      </c>
      <c r="G48" s="10">
        <v>150</v>
      </c>
      <c r="H48" s="11">
        <v>30000</v>
      </c>
      <c r="I48" s="11">
        <f t="shared" si="2"/>
        <v>4500000</v>
      </c>
      <c r="J48" t="str">
        <f t="shared" si="1"/>
        <v>Non-Compliant</v>
      </c>
    </row>
    <row r="49" spans="1:10" x14ac:dyDescent="0.25">
      <c r="A49" s="4" t="s">
        <v>405</v>
      </c>
      <c r="B49" s="18">
        <v>46111</v>
      </c>
      <c r="C49" s="4" t="s">
        <v>19</v>
      </c>
      <c r="D49" s="5" t="s">
        <v>20</v>
      </c>
      <c r="E49" s="4" t="s">
        <v>274</v>
      </c>
      <c r="F49" s="18">
        <f>_xlfn.XLOOKUP(E49, Inbound_Batch!$A$5:$A$324, Inbound_Batch!$F$5:$F$324,,0)</f>
        <v>45964</v>
      </c>
      <c r="G49" s="6">
        <v>50</v>
      </c>
      <c r="H49" s="7">
        <v>50000</v>
      </c>
      <c r="I49" s="7">
        <f t="shared" si="2"/>
        <v>2500000</v>
      </c>
      <c r="J49" t="str">
        <f t="shared" si="1"/>
        <v>Compliant</v>
      </c>
    </row>
    <row r="50" spans="1:10" x14ac:dyDescent="0.25">
      <c r="A50" s="8" t="s">
        <v>405</v>
      </c>
      <c r="B50" s="19">
        <v>46111</v>
      </c>
      <c r="C50" s="8" t="s">
        <v>19</v>
      </c>
      <c r="D50" s="9" t="s">
        <v>20</v>
      </c>
      <c r="E50" s="8" t="s">
        <v>136</v>
      </c>
      <c r="F50" s="18">
        <f>_xlfn.XLOOKUP(E50, Inbound_Batch!$A$5:$A$324, Inbound_Batch!$F$5:$F$324,,0)</f>
        <v>47077</v>
      </c>
      <c r="G50" s="10">
        <v>100</v>
      </c>
      <c r="H50" s="11">
        <v>51000</v>
      </c>
      <c r="I50" s="11">
        <f t="shared" si="2"/>
        <v>5100000</v>
      </c>
      <c r="J50" t="str">
        <f t="shared" si="1"/>
        <v>Non-Compliant</v>
      </c>
    </row>
    <row r="51" spans="1:10" x14ac:dyDescent="0.25">
      <c r="A51" s="4" t="s">
        <v>405</v>
      </c>
      <c r="B51" s="18">
        <v>46111</v>
      </c>
      <c r="C51" s="4" t="s">
        <v>19</v>
      </c>
      <c r="D51" s="5" t="s">
        <v>20</v>
      </c>
      <c r="E51" s="4" t="s">
        <v>175</v>
      </c>
      <c r="F51" s="18">
        <f>_xlfn.XLOOKUP(E51, Inbound_Batch!$A$5:$A$324, Inbound_Batch!$F$5:$F$324,,0)</f>
        <v>46357</v>
      </c>
      <c r="G51" s="6">
        <v>300</v>
      </c>
      <c r="H51" s="7">
        <v>52000</v>
      </c>
      <c r="I51" s="7">
        <f t="shared" si="2"/>
        <v>15600000</v>
      </c>
      <c r="J51" t="str">
        <f t="shared" si="1"/>
        <v>Non-Compliant</v>
      </c>
    </row>
    <row r="52" spans="1:10" x14ac:dyDescent="0.25">
      <c r="A52" s="8" t="s">
        <v>405</v>
      </c>
      <c r="B52" s="19">
        <v>46111</v>
      </c>
      <c r="C52" s="8" t="s">
        <v>19</v>
      </c>
      <c r="D52" s="9" t="s">
        <v>20</v>
      </c>
      <c r="E52" s="8" t="s">
        <v>57</v>
      </c>
      <c r="F52" s="18">
        <f>_xlfn.XLOOKUP(E52, Inbound_Batch!$A$5:$A$324, Inbound_Batch!$F$5:$F$324,,0)</f>
        <v>46396</v>
      </c>
      <c r="G52" s="10">
        <v>250</v>
      </c>
      <c r="H52" s="11">
        <v>45000</v>
      </c>
      <c r="I52" s="11">
        <f t="shared" si="2"/>
        <v>11250000</v>
      </c>
      <c r="J52" t="str">
        <f t="shared" si="1"/>
        <v>Non-Compliant</v>
      </c>
    </row>
    <row r="53" spans="1:10" x14ac:dyDescent="0.25">
      <c r="A53" s="4" t="s">
        <v>405</v>
      </c>
      <c r="B53" s="18">
        <v>46111</v>
      </c>
      <c r="C53" s="4" t="s">
        <v>19</v>
      </c>
      <c r="D53" s="5" t="s">
        <v>20</v>
      </c>
      <c r="E53" s="4" t="s">
        <v>256</v>
      </c>
      <c r="F53" s="18">
        <f>_xlfn.XLOOKUP(E53, Inbound_Batch!$A$5:$A$324, Inbound_Batch!$F$5:$F$324,,0)</f>
        <v>46401</v>
      </c>
      <c r="G53" s="6">
        <v>100</v>
      </c>
      <c r="H53" s="7">
        <v>50000</v>
      </c>
      <c r="I53" s="7">
        <f t="shared" si="2"/>
        <v>5000000</v>
      </c>
      <c r="J53" t="str">
        <f t="shared" si="1"/>
        <v>Non-Compliant</v>
      </c>
    </row>
    <row r="54" spans="1:10" x14ac:dyDescent="0.25">
      <c r="A54" s="8" t="s">
        <v>404</v>
      </c>
      <c r="B54" s="19">
        <v>46096</v>
      </c>
      <c r="C54" s="8" t="s">
        <v>29</v>
      </c>
      <c r="D54" s="9" t="s">
        <v>30</v>
      </c>
      <c r="E54" s="8" t="s">
        <v>205</v>
      </c>
      <c r="F54" s="18">
        <f>_xlfn.XLOOKUP(E54, Inbound_Batch!$A$5:$A$324, Inbound_Batch!$F$5:$F$324,,0)</f>
        <v>45975</v>
      </c>
      <c r="G54" s="10">
        <v>150</v>
      </c>
      <c r="H54" s="11">
        <v>26000</v>
      </c>
      <c r="I54" s="11">
        <f t="shared" si="2"/>
        <v>3900000</v>
      </c>
      <c r="J54" t="str">
        <f t="shared" si="1"/>
        <v>Compliant</v>
      </c>
    </row>
    <row r="55" spans="1:10" x14ac:dyDescent="0.25">
      <c r="A55" s="4" t="s">
        <v>404</v>
      </c>
      <c r="B55" s="18">
        <v>46096</v>
      </c>
      <c r="C55" s="4" t="s">
        <v>29</v>
      </c>
      <c r="D55" s="5" t="s">
        <v>30</v>
      </c>
      <c r="E55" s="4" t="s">
        <v>70</v>
      </c>
      <c r="F55" s="18">
        <f>_xlfn.XLOOKUP(E55, Inbound_Batch!$A$5:$A$324, Inbound_Batch!$F$5:$F$324,,0)</f>
        <v>46431</v>
      </c>
      <c r="G55" s="6">
        <v>450</v>
      </c>
      <c r="H55" s="7">
        <v>28000</v>
      </c>
      <c r="I55" s="7">
        <f t="shared" si="2"/>
        <v>12600000</v>
      </c>
      <c r="J55" t="str">
        <f t="shared" si="1"/>
        <v>Non-Compliant</v>
      </c>
    </row>
    <row r="56" spans="1:10" x14ac:dyDescent="0.25">
      <c r="A56" s="8" t="s">
        <v>403</v>
      </c>
      <c r="B56" s="19">
        <v>46104</v>
      </c>
      <c r="C56" s="8" t="s">
        <v>8</v>
      </c>
      <c r="D56" s="9" t="s">
        <v>9</v>
      </c>
      <c r="E56" s="8" t="s">
        <v>297</v>
      </c>
      <c r="F56" s="18">
        <f>_xlfn.XLOOKUP(E56, Inbound_Batch!$A$5:$A$324, Inbound_Batch!$F$5:$F$324,,0)</f>
        <v>46741</v>
      </c>
      <c r="G56" s="10">
        <v>200</v>
      </c>
      <c r="H56" s="11">
        <v>38000</v>
      </c>
      <c r="I56" s="11">
        <f t="shared" si="2"/>
        <v>7600000</v>
      </c>
      <c r="J56" t="str">
        <f t="shared" si="1"/>
        <v>Non-Compliant</v>
      </c>
    </row>
    <row r="57" spans="1:10" x14ac:dyDescent="0.25">
      <c r="A57" s="4" t="s">
        <v>402</v>
      </c>
      <c r="B57" s="18">
        <v>46078</v>
      </c>
      <c r="C57" s="4" t="s">
        <v>12</v>
      </c>
      <c r="D57" s="5" t="s">
        <v>13</v>
      </c>
      <c r="E57" s="4" t="s">
        <v>255</v>
      </c>
      <c r="F57" s="18">
        <f>_xlfn.XLOOKUP(E57, Inbound_Batch!$A$5:$A$324, Inbound_Batch!$F$5:$F$324,,0)</f>
        <v>46393</v>
      </c>
      <c r="G57" s="6">
        <v>750</v>
      </c>
      <c r="H57" s="7">
        <v>29000</v>
      </c>
      <c r="I57" s="7">
        <f t="shared" si="2"/>
        <v>21750000</v>
      </c>
      <c r="J57" t="str">
        <f t="shared" si="1"/>
        <v>Non-Compliant</v>
      </c>
    </row>
    <row r="58" spans="1:10" x14ac:dyDescent="0.25">
      <c r="A58" s="8" t="s">
        <v>402</v>
      </c>
      <c r="B58" s="19">
        <v>46078</v>
      </c>
      <c r="C58" s="8" t="s">
        <v>12</v>
      </c>
      <c r="D58" s="9" t="s">
        <v>13</v>
      </c>
      <c r="E58" s="8" t="s">
        <v>176</v>
      </c>
      <c r="F58" s="18">
        <f>_xlfn.XLOOKUP(E58, Inbound_Batch!$A$5:$A$324, Inbound_Batch!$F$5:$F$324,,0)</f>
        <v>46406</v>
      </c>
      <c r="G58" s="10">
        <v>250</v>
      </c>
      <c r="H58" s="11">
        <v>31000</v>
      </c>
      <c r="I58" s="11">
        <f t="shared" si="2"/>
        <v>7750000</v>
      </c>
      <c r="J58" t="str">
        <f t="shared" si="1"/>
        <v>Non-Compliant</v>
      </c>
    </row>
    <row r="59" spans="1:10" x14ac:dyDescent="0.25">
      <c r="A59" s="4" t="s">
        <v>401</v>
      </c>
      <c r="B59" s="18">
        <v>46072</v>
      </c>
      <c r="C59" s="4" t="s">
        <v>4</v>
      </c>
      <c r="D59" s="5" t="s">
        <v>5</v>
      </c>
      <c r="E59" s="4" t="s">
        <v>23</v>
      </c>
      <c r="F59" s="18">
        <f>_xlfn.XLOOKUP(E59, Inbound_Batch!$A$5:$A$324, Inbound_Batch!$F$5:$F$324,,0)</f>
        <v>46466</v>
      </c>
      <c r="G59" s="6">
        <v>50</v>
      </c>
      <c r="H59" s="7">
        <v>86000</v>
      </c>
      <c r="I59" s="7">
        <f t="shared" si="2"/>
        <v>4300000</v>
      </c>
      <c r="J59" t="str">
        <f t="shared" si="1"/>
        <v>Non-Compliant</v>
      </c>
    </row>
    <row r="60" spans="1:10" x14ac:dyDescent="0.25">
      <c r="A60" s="8" t="s">
        <v>401</v>
      </c>
      <c r="B60" s="19">
        <v>46072</v>
      </c>
      <c r="C60" s="8" t="s">
        <v>4</v>
      </c>
      <c r="D60" s="9" t="s">
        <v>5</v>
      </c>
      <c r="E60" s="8" t="s">
        <v>239</v>
      </c>
      <c r="F60" s="18">
        <f>_xlfn.XLOOKUP(E60, Inbound_Batch!$A$5:$A$324, Inbound_Batch!$F$5:$F$324,,0)</f>
        <v>46848</v>
      </c>
      <c r="G60" s="10">
        <v>950</v>
      </c>
      <c r="H60" s="11">
        <v>81000</v>
      </c>
      <c r="I60" s="11">
        <f t="shared" si="2"/>
        <v>76950000</v>
      </c>
      <c r="J60" t="str">
        <f t="shared" si="1"/>
        <v>Non-Compliant</v>
      </c>
    </row>
    <row r="61" spans="1:10" x14ac:dyDescent="0.25">
      <c r="A61" s="4" t="s">
        <v>400</v>
      </c>
      <c r="B61" s="18">
        <v>46072</v>
      </c>
      <c r="C61" s="4" t="s">
        <v>16</v>
      </c>
      <c r="D61" s="5" t="s">
        <v>17</v>
      </c>
      <c r="E61" s="4" t="s">
        <v>328</v>
      </c>
      <c r="F61" s="18">
        <f>_xlfn.XLOOKUP(E61, Inbound_Batch!$A$5:$A$324, Inbound_Batch!$F$5:$F$324,,0)</f>
        <v>46424</v>
      </c>
      <c r="G61" s="6">
        <v>150</v>
      </c>
      <c r="H61" s="7">
        <v>69000</v>
      </c>
      <c r="I61" s="7">
        <f t="shared" si="2"/>
        <v>10350000</v>
      </c>
      <c r="J61" t="str">
        <f t="shared" si="1"/>
        <v>Non-Compliant</v>
      </c>
    </row>
    <row r="62" spans="1:10" x14ac:dyDescent="0.25">
      <c r="A62" s="8" t="s">
        <v>400</v>
      </c>
      <c r="B62" s="19">
        <v>46072</v>
      </c>
      <c r="C62" s="8" t="s">
        <v>16</v>
      </c>
      <c r="D62" s="9" t="s">
        <v>17</v>
      </c>
      <c r="E62" s="8" t="s">
        <v>92</v>
      </c>
      <c r="F62" s="18">
        <f>_xlfn.XLOOKUP(E62, Inbound_Batch!$A$5:$A$324, Inbound_Batch!$F$5:$F$324,,0)</f>
        <v>46433</v>
      </c>
      <c r="G62" s="10">
        <v>150</v>
      </c>
      <c r="H62" s="11">
        <v>60000</v>
      </c>
      <c r="I62" s="11">
        <f t="shared" si="2"/>
        <v>9000000</v>
      </c>
      <c r="J62" t="str">
        <f t="shared" si="1"/>
        <v>Non-Compliant</v>
      </c>
    </row>
    <row r="63" spans="1:10" x14ac:dyDescent="0.25">
      <c r="A63" s="4" t="s">
        <v>399</v>
      </c>
      <c r="B63" s="18">
        <v>46044</v>
      </c>
      <c r="C63" s="4" t="s">
        <v>45</v>
      </c>
      <c r="D63" s="5" t="s">
        <v>46</v>
      </c>
      <c r="E63" s="4" t="s">
        <v>332</v>
      </c>
      <c r="F63" s="18">
        <f>_xlfn.XLOOKUP(E63, Inbound_Batch!$A$5:$A$324, Inbound_Batch!$F$5:$F$324,,0)</f>
        <v>46519</v>
      </c>
      <c r="G63" s="6">
        <v>150</v>
      </c>
      <c r="H63" s="7">
        <v>90000</v>
      </c>
      <c r="I63" s="7">
        <f t="shared" si="2"/>
        <v>13500000</v>
      </c>
      <c r="J63" t="str">
        <f t="shared" si="1"/>
        <v>Non-Compliant</v>
      </c>
    </row>
    <row r="64" spans="1:10" x14ac:dyDescent="0.25">
      <c r="A64" s="8" t="s">
        <v>398</v>
      </c>
      <c r="B64" s="19">
        <v>46077</v>
      </c>
      <c r="C64" s="8" t="s">
        <v>12</v>
      </c>
      <c r="D64" s="9" t="s">
        <v>13</v>
      </c>
      <c r="E64" s="8" t="s">
        <v>176</v>
      </c>
      <c r="F64" s="18">
        <f>_xlfn.XLOOKUP(E64, Inbound_Batch!$A$5:$A$324, Inbound_Batch!$F$5:$F$324,,0)</f>
        <v>46406</v>
      </c>
      <c r="G64" s="10">
        <v>250</v>
      </c>
      <c r="H64" s="11">
        <v>31000</v>
      </c>
      <c r="I64" s="11">
        <f t="shared" si="2"/>
        <v>7750000</v>
      </c>
      <c r="J64" t="str">
        <f t="shared" si="1"/>
        <v>Non-Compliant</v>
      </c>
    </row>
    <row r="65" spans="1:10" x14ac:dyDescent="0.25">
      <c r="A65" s="4" t="s">
        <v>398</v>
      </c>
      <c r="B65" s="18">
        <v>46077</v>
      </c>
      <c r="C65" s="4" t="s">
        <v>12</v>
      </c>
      <c r="D65" s="5" t="s">
        <v>13</v>
      </c>
      <c r="E65" s="4" t="s">
        <v>117</v>
      </c>
      <c r="F65" s="18">
        <f>_xlfn.XLOOKUP(E65, Inbound_Batch!$A$5:$A$324, Inbound_Batch!$F$5:$F$324,,0)</f>
        <v>46807</v>
      </c>
      <c r="G65" s="6">
        <v>100</v>
      </c>
      <c r="H65" s="7">
        <v>29000</v>
      </c>
      <c r="I65" s="7">
        <f t="shared" si="2"/>
        <v>2900000</v>
      </c>
      <c r="J65" t="str">
        <f t="shared" si="1"/>
        <v>Non-Compliant</v>
      </c>
    </row>
    <row r="66" spans="1:10" x14ac:dyDescent="0.25">
      <c r="A66" s="8" t="s">
        <v>398</v>
      </c>
      <c r="B66" s="19">
        <v>46077</v>
      </c>
      <c r="C66" s="8" t="s">
        <v>12</v>
      </c>
      <c r="D66" s="9" t="s">
        <v>13</v>
      </c>
      <c r="E66" s="8" t="s">
        <v>233</v>
      </c>
      <c r="F66" s="18">
        <f>_xlfn.XLOOKUP(E66, Inbound_Batch!$A$5:$A$324, Inbound_Batch!$F$5:$F$324,,0)</f>
        <v>46451</v>
      </c>
      <c r="G66" s="10">
        <v>450</v>
      </c>
      <c r="H66" s="11">
        <v>28000</v>
      </c>
      <c r="I66" s="11">
        <f t="shared" si="2"/>
        <v>12600000</v>
      </c>
      <c r="J66" t="str">
        <f t="shared" si="1"/>
        <v>Non-Compliant</v>
      </c>
    </row>
    <row r="67" spans="1:10" x14ac:dyDescent="0.25">
      <c r="A67" s="4" t="s">
        <v>397</v>
      </c>
      <c r="B67" s="18">
        <v>46049</v>
      </c>
      <c r="C67" s="4" t="s">
        <v>53</v>
      </c>
      <c r="D67" s="5" t="s">
        <v>54</v>
      </c>
      <c r="E67" s="4" t="s">
        <v>173</v>
      </c>
      <c r="F67" s="18">
        <f>_xlfn.XLOOKUP(E67, Inbound_Batch!$A$5:$A$324, Inbound_Batch!$F$5:$F$324,,0)</f>
        <v>46584</v>
      </c>
      <c r="G67" s="6">
        <v>150</v>
      </c>
      <c r="H67" s="7">
        <v>52000</v>
      </c>
      <c r="I67" s="7">
        <f t="shared" si="2"/>
        <v>7800000</v>
      </c>
      <c r="J67" t="str">
        <f t="shared" si="1"/>
        <v>Non-Compliant</v>
      </c>
    </row>
    <row r="68" spans="1:10" x14ac:dyDescent="0.25">
      <c r="A68" s="8" t="s">
        <v>396</v>
      </c>
      <c r="B68" s="19">
        <v>46096</v>
      </c>
      <c r="C68" s="8" t="s">
        <v>25</v>
      </c>
      <c r="D68" s="9" t="s">
        <v>26</v>
      </c>
      <c r="E68" s="8" t="s">
        <v>262</v>
      </c>
      <c r="F68" s="18">
        <f>_xlfn.XLOOKUP(E68, Inbound_Batch!$A$5:$A$324, Inbound_Batch!$F$5:$F$324,,0)</f>
        <v>46387</v>
      </c>
      <c r="G68" s="10">
        <v>500</v>
      </c>
      <c r="H68" s="11">
        <v>55000</v>
      </c>
      <c r="I68" s="11">
        <f t="shared" si="2"/>
        <v>27500000</v>
      </c>
      <c r="J68" t="str">
        <f t="shared" si="1"/>
        <v>Non-Compliant</v>
      </c>
    </row>
    <row r="69" spans="1:10" x14ac:dyDescent="0.25">
      <c r="A69" s="4" t="s">
        <v>395</v>
      </c>
      <c r="B69" s="18">
        <v>46044</v>
      </c>
      <c r="C69" s="4" t="s">
        <v>16</v>
      </c>
      <c r="D69" s="5" t="s">
        <v>17</v>
      </c>
      <c r="E69" s="4" t="s">
        <v>92</v>
      </c>
      <c r="F69" s="18">
        <f>_xlfn.XLOOKUP(E69, Inbound_Batch!$A$5:$A$324, Inbound_Batch!$F$5:$F$324,,0)</f>
        <v>46433</v>
      </c>
      <c r="G69" s="6">
        <v>150</v>
      </c>
      <c r="H69" s="7">
        <v>60000</v>
      </c>
      <c r="I69" s="7">
        <f t="shared" ref="I69:I100" si="3">G69*H69</f>
        <v>9000000</v>
      </c>
      <c r="J69" t="str">
        <f t="shared" si="1"/>
        <v>Non-Compliant</v>
      </c>
    </row>
    <row r="70" spans="1:10" x14ac:dyDescent="0.25">
      <c r="A70" s="8" t="s">
        <v>395</v>
      </c>
      <c r="B70" s="19">
        <v>46044</v>
      </c>
      <c r="C70" s="8" t="s">
        <v>16</v>
      </c>
      <c r="D70" s="9" t="s">
        <v>17</v>
      </c>
      <c r="E70" s="8" t="s">
        <v>78</v>
      </c>
      <c r="F70" s="18">
        <f>_xlfn.XLOOKUP(E70, Inbound_Batch!$A$5:$A$324, Inbound_Batch!$F$5:$F$324,,0)</f>
        <v>46442</v>
      </c>
      <c r="G70" s="10">
        <v>450</v>
      </c>
      <c r="H70" s="11">
        <v>72000</v>
      </c>
      <c r="I70" s="11">
        <f t="shared" si="3"/>
        <v>32400000</v>
      </c>
      <c r="J70" t="str">
        <f t="shared" ref="J70:J133" si="4">IF(F70 &lt;= _xlfn.MINIFS($F$5:$F$174, $C$5:$C$174, C70), "Compliant", "Non-Compliant")</f>
        <v>Non-Compliant</v>
      </c>
    </row>
    <row r="71" spans="1:10" x14ac:dyDescent="0.25">
      <c r="A71" s="4" t="s">
        <v>394</v>
      </c>
      <c r="B71" s="18">
        <v>46086</v>
      </c>
      <c r="C71" s="4" t="s">
        <v>29</v>
      </c>
      <c r="D71" s="5" t="s">
        <v>30</v>
      </c>
      <c r="E71" s="4" t="s">
        <v>70</v>
      </c>
      <c r="F71" s="18">
        <f>_xlfn.XLOOKUP(E71, Inbound_Batch!$A$5:$A$324, Inbound_Batch!$F$5:$F$324,,0)</f>
        <v>46431</v>
      </c>
      <c r="G71" s="6">
        <v>50</v>
      </c>
      <c r="H71" s="7">
        <v>28000</v>
      </c>
      <c r="I71" s="7">
        <f t="shared" si="3"/>
        <v>1400000</v>
      </c>
      <c r="J71" t="str">
        <f t="shared" si="4"/>
        <v>Non-Compliant</v>
      </c>
    </row>
    <row r="72" spans="1:10" x14ac:dyDescent="0.25">
      <c r="A72" s="8" t="s">
        <v>394</v>
      </c>
      <c r="B72" s="19">
        <v>46086</v>
      </c>
      <c r="C72" s="8" t="s">
        <v>29</v>
      </c>
      <c r="D72" s="9" t="s">
        <v>30</v>
      </c>
      <c r="E72" s="8" t="s">
        <v>227</v>
      </c>
      <c r="F72" s="18">
        <f>_xlfn.XLOOKUP(E72, Inbound_Batch!$A$5:$A$324, Inbound_Batch!$F$5:$F$324,,0)</f>
        <v>46455</v>
      </c>
      <c r="G72" s="10">
        <v>250</v>
      </c>
      <c r="H72" s="11">
        <v>27000</v>
      </c>
      <c r="I72" s="11">
        <f t="shared" si="3"/>
        <v>6750000</v>
      </c>
      <c r="J72" t="str">
        <f t="shared" si="4"/>
        <v>Non-Compliant</v>
      </c>
    </row>
    <row r="73" spans="1:10" x14ac:dyDescent="0.25">
      <c r="A73" s="4" t="s">
        <v>393</v>
      </c>
      <c r="B73" s="18">
        <v>46080</v>
      </c>
      <c r="C73" s="4" t="s">
        <v>12</v>
      </c>
      <c r="D73" s="5" t="s">
        <v>13</v>
      </c>
      <c r="E73" s="4" t="s">
        <v>233</v>
      </c>
      <c r="F73" s="18">
        <f>_xlfn.XLOOKUP(E73, Inbound_Batch!$A$5:$A$324, Inbound_Batch!$F$5:$F$324,,0)</f>
        <v>46451</v>
      </c>
      <c r="G73" s="6">
        <v>50</v>
      </c>
      <c r="H73" s="7">
        <v>28000</v>
      </c>
      <c r="I73" s="7">
        <f t="shared" si="3"/>
        <v>1400000</v>
      </c>
      <c r="J73" t="str">
        <f t="shared" si="4"/>
        <v>Non-Compliant</v>
      </c>
    </row>
    <row r="74" spans="1:10" x14ac:dyDescent="0.25">
      <c r="A74" s="8" t="s">
        <v>393</v>
      </c>
      <c r="B74" s="19">
        <v>46080</v>
      </c>
      <c r="C74" s="8" t="s">
        <v>12</v>
      </c>
      <c r="D74" s="9" t="s">
        <v>13</v>
      </c>
      <c r="E74" s="8" t="s">
        <v>166</v>
      </c>
      <c r="F74" s="18">
        <f>_xlfn.XLOOKUP(E74, Inbound_Batch!$A$5:$A$324, Inbound_Batch!$F$5:$F$324,,0)</f>
        <v>46460</v>
      </c>
      <c r="G74" s="10">
        <v>100</v>
      </c>
      <c r="H74" s="11">
        <v>33000</v>
      </c>
      <c r="I74" s="11">
        <f t="shared" si="3"/>
        <v>3300000</v>
      </c>
      <c r="J74" t="str">
        <f t="shared" si="4"/>
        <v>Non-Compliant</v>
      </c>
    </row>
    <row r="75" spans="1:10" x14ac:dyDescent="0.25">
      <c r="A75" s="4" t="s">
        <v>393</v>
      </c>
      <c r="B75" s="18">
        <v>46080</v>
      </c>
      <c r="C75" s="4" t="s">
        <v>12</v>
      </c>
      <c r="D75" s="5" t="s">
        <v>13</v>
      </c>
      <c r="E75" s="4" t="s">
        <v>169</v>
      </c>
      <c r="F75" s="18">
        <f>_xlfn.XLOOKUP(E75, Inbound_Batch!$A$5:$A$324, Inbound_Batch!$F$5:$F$324,,0)</f>
        <v>46479</v>
      </c>
      <c r="G75" s="6">
        <v>350</v>
      </c>
      <c r="H75" s="7">
        <v>33000</v>
      </c>
      <c r="I75" s="7">
        <f t="shared" si="3"/>
        <v>11550000</v>
      </c>
      <c r="J75" t="str">
        <f t="shared" si="4"/>
        <v>Non-Compliant</v>
      </c>
    </row>
    <row r="76" spans="1:10" x14ac:dyDescent="0.25">
      <c r="A76" s="8" t="s">
        <v>392</v>
      </c>
      <c r="B76" s="19">
        <v>46039</v>
      </c>
      <c r="C76" s="8" t="s">
        <v>33</v>
      </c>
      <c r="D76" s="9" t="s">
        <v>34</v>
      </c>
      <c r="E76" s="8" t="s">
        <v>275</v>
      </c>
      <c r="F76" s="18">
        <f>_xlfn.XLOOKUP(E76, Inbound_Batch!$A$5:$A$324, Inbound_Batch!$F$5:$F$324,,0)</f>
        <v>46020</v>
      </c>
      <c r="G76" s="10">
        <v>550</v>
      </c>
      <c r="H76" s="11">
        <v>55000</v>
      </c>
      <c r="I76" s="11">
        <f t="shared" si="3"/>
        <v>30250000</v>
      </c>
      <c r="J76" t="str">
        <f t="shared" si="4"/>
        <v>Compliant</v>
      </c>
    </row>
    <row r="77" spans="1:10" x14ac:dyDescent="0.25">
      <c r="A77" s="4" t="s">
        <v>392</v>
      </c>
      <c r="B77" s="18">
        <v>46039</v>
      </c>
      <c r="C77" s="4" t="s">
        <v>33</v>
      </c>
      <c r="D77" s="5" t="s">
        <v>34</v>
      </c>
      <c r="E77" s="4" t="s">
        <v>222</v>
      </c>
      <c r="F77" s="18">
        <f>_xlfn.XLOOKUP(E77, Inbound_Batch!$A$5:$A$324, Inbound_Batch!$F$5:$F$324,,0)</f>
        <v>46395</v>
      </c>
      <c r="G77" s="6">
        <v>50</v>
      </c>
      <c r="H77" s="7">
        <v>57000</v>
      </c>
      <c r="I77" s="7">
        <f t="shared" si="3"/>
        <v>2850000</v>
      </c>
      <c r="J77" t="str">
        <f t="shared" si="4"/>
        <v>Non-Compliant</v>
      </c>
    </row>
    <row r="78" spans="1:10" x14ac:dyDescent="0.25">
      <c r="A78" s="8" t="s">
        <v>391</v>
      </c>
      <c r="B78" s="19">
        <v>46038</v>
      </c>
      <c r="C78" s="8" t="s">
        <v>12</v>
      </c>
      <c r="D78" s="9" t="s">
        <v>13</v>
      </c>
      <c r="E78" s="8" t="s">
        <v>169</v>
      </c>
      <c r="F78" s="18">
        <f>_xlfn.XLOOKUP(E78, Inbound_Batch!$A$5:$A$324, Inbound_Batch!$F$5:$F$324,,0)</f>
        <v>46479</v>
      </c>
      <c r="G78" s="10">
        <v>150</v>
      </c>
      <c r="H78" s="11">
        <v>33000</v>
      </c>
      <c r="I78" s="11">
        <f t="shared" si="3"/>
        <v>4950000</v>
      </c>
      <c r="J78" t="str">
        <f t="shared" si="4"/>
        <v>Non-Compliant</v>
      </c>
    </row>
    <row r="79" spans="1:10" x14ac:dyDescent="0.25">
      <c r="A79" s="4" t="s">
        <v>391</v>
      </c>
      <c r="B79" s="18">
        <v>46038</v>
      </c>
      <c r="C79" s="4" t="s">
        <v>12</v>
      </c>
      <c r="D79" s="5" t="s">
        <v>13</v>
      </c>
      <c r="E79" s="4" t="s">
        <v>131</v>
      </c>
      <c r="F79" s="18">
        <f>_xlfn.XLOOKUP(E79, Inbound_Batch!$A$5:$A$324, Inbound_Batch!$F$5:$F$324,,0)</f>
        <v>46503</v>
      </c>
      <c r="G79" s="6">
        <v>500</v>
      </c>
      <c r="H79" s="7">
        <v>31000</v>
      </c>
      <c r="I79" s="7">
        <f t="shared" si="3"/>
        <v>15500000</v>
      </c>
      <c r="J79" t="str">
        <f t="shared" si="4"/>
        <v>Non-Compliant</v>
      </c>
    </row>
    <row r="80" spans="1:10" x14ac:dyDescent="0.25">
      <c r="A80" s="8" t="s">
        <v>391</v>
      </c>
      <c r="B80" s="19">
        <v>46038</v>
      </c>
      <c r="C80" s="8" t="s">
        <v>12</v>
      </c>
      <c r="D80" s="9" t="s">
        <v>13</v>
      </c>
      <c r="E80" s="8" t="s">
        <v>86</v>
      </c>
      <c r="F80" s="18">
        <f>_xlfn.XLOOKUP(E80, Inbound_Batch!$A$5:$A$324, Inbound_Batch!$F$5:$F$324,,0)</f>
        <v>46508</v>
      </c>
      <c r="G80" s="10">
        <v>150</v>
      </c>
      <c r="H80" s="11">
        <v>29000</v>
      </c>
      <c r="I80" s="11">
        <f t="shared" si="3"/>
        <v>4350000</v>
      </c>
      <c r="J80" t="str">
        <f t="shared" si="4"/>
        <v>Non-Compliant</v>
      </c>
    </row>
    <row r="81" spans="1:10" x14ac:dyDescent="0.25">
      <c r="A81" s="4" t="s">
        <v>390</v>
      </c>
      <c r="B81" s="18">
        <v>46117</v>
      </c>
      <c r="C81" s="4" t="s">
        <v>25</v>
      </c>
      <c r="D81" s="5" t="s">
        <v>26</v>
      </c>
      <c r="E81" s="4" t="s">
        <v>262</v>
      </c>
      <c r="F81" s="18">
        <f>_xlfn.XLOOKUP(E81, Inbound_Batch!$A$5:$A$324, Inbound_Batch!$F$5:$F$324,,0)</f>
        <v>46387</v>
      </c>
      <c r="G81" s="6">
        <v>250</v>
      </c>
      <c r="H81" s="7">
        <v>55000</v>
      </c>
      <c r="I81" s="7">
        <f t="shared" si="3"/>
        <v>13750000</v>
      </c>
      <c r="J81" t="str">
        <f t="shared" si="4"/>
        <v>Non-Compliant</v>
      </c>
    </row>
    <row r="82" spans="1:10" x14ac:dyDescent="0.25">
      <c r="A82" s="8" t="s">
        <v>390</v>
      </c>
      <c r="B82" s="19">
        <v>46117</v>
      </c>
      <c r="C82" s="8" t="s">
        <v>25</v>
      </c>
      <c r="D82" s="9" t="s">
        <v>26</v>
      </c>
      <c r="E82" s="8" t="s">
        <v>202</v>
      </c>
      <c r="F82" s="18">
        <f>_xlfn.XLOOKUP(E82, Inbound_Batch!$A$5:$A$324, Inbound_Batch!$F$5:$F$324,,0)</f>
        <v>46406</v>
      </c>
      <c r="G82" s="10">
        <v>50</v>
      </c>
      <c r="H82" s="11">
        <v>58000</v>
      </c>
      <c r="I82" s="11">
        <f t="shared" si="3"/>
        <v>2900000</v>
      </c>
      <c r="J82" t="str">
        <f t="shared" si="4"/>
        <v>Non-Compliant</v>
      </c>
    </row>
    <row r="83" spans="1:10" x14ac:dyDescent="0.25">
      <c r="A83" s="4" t="s">
        <v>389</v>
      </c>
      <c r="B83" s="18">
        <v>46123</v>
      </c>
      <c r="C83" s="4" t="s">
        <v>25</v>
      </c>
      <c r="D83" s="5" t="s">
        <v>26</v>
      </c>
      <c r="E83" s="4" t="s">
        <v>202</v>
      </c>
      <c r="F83" s="18">
        <f>_xlfn.XLOOKUP(E83, Inbound_Batch!$A$5:$A$324, Inbound_Batch!$F$5:$F$324,,0)</f>
        <v>46406</v>
      </c>
      <c r="G83" s="6">
        <v>200</v>
      </c>
      <c r="H83" s="7">
        <v>58000</v>
      </c>
      <c r="I83" s="7">
        <f t="shared" si="3"/>
        <v>11600000</v>
      </c>
      <c r="J83" t="str">
        <f t="shared" si="4"/>
        <v>Non-Compliant</v>
      </c>
    </row>
    <row r="84" spans="1:10" x14ac:dyDescent="0.25">
      <c r="A84" s="8" t="s">
        <v>389</v>
      </c>
      <c r="B84" s="19">
        <v>46123</v>
      </c>
      <c r="C84" s="8" t="s">
        <v>25</v>
      </c>
      <c r="D84" s="9" t="s">
        <v>26</v>
      </c>
      <c r="E84" s="8" t="s">
        <v>183</v>
      </c>
      <c r="F84" s="18">
        <f>_xlfn.XLOOKUP(E84, Inbound_Batch!$A$5:$A$324, Inbound_Batch!$F$5:$F$324,,0)</f>
        <v>46814</v>
      </c>
      <c r="G84" s="10">
        <v>200</v>
      </c>
      <c r="H84" s="11">
        <v>60000</v>
      </c>
      <c r="I84" s="11">
        <f t="shared" si="3"/>
        <v>12000000</v>
      </c>
      <c r="J84" t="str">
        <f t="shared" si="4"/>
        <v>Non-Compliant</v>
      </c>
    </row>
    <row r="85" spans="1:10" x14ac:dyDescent="0.25">
      <c r="A85" s="4" t="s">
        <v>389</v>
      </c>
      <c r="B85" s="18">
        <v>46123</v>
      </c>
      <c r="C85" s="4" t="s">
        <v>25</v>
      </c>
      <c r="D85" s="5" t="s">
        <v>26</v>
      </c>
      <c r="E85" s="4" t="s">
        <v>177</v>
      </c>
      <c r="F85" s="18">
        <f>_xlfn.XLOOKUP(E85, Inbound_Batch!$A$5:$A$324, Inbound_Batch!$F$5:$F$324,,0)</f>
        <v>46477</v>
      </c>
      <c r="G85" s="6">
        <v>100</v>
      </c>
      <c r="H85" s="7">
        <v>62000</v>
      </c>
      <c r="I85" s="7">
        <f t="shared" si="3"/>
        <v>6200000</v>
      </c>
      <c r="J85" t="str">
        <f t="shared" si="4"/>
        <v>Non-Compliant</v>
      </c>
    </row>
    <row r="86" spans="1:10" x14ac:dyDescent="0.25">
      <c r="A86" s="8" t="s">
        <v>389</v>
      </c>
      <c r="B86" s="19">
        <v>46123</v>
      </c>
      <c r="C86" s="8" t="s">
        <v>25</v>
      </c>
      <c r="D86" s="9" t="s">
        <v>26</v>
      </c>
      <c r="E86" s="8" t="s">
        <v>296</v>
      </c>
      <c r="F86" s="18">
        <f>_xlfn.XLOOKUP(E86, Inbound_Batch!$A$5:$A$324, Inbound_Batch!$F$5:$F$324,,0)</f>
        <v>46503</v>
      </c>
      <c r="G86" s="10">
        <v>100</v>
      </c>
      <c r="H86" s="11">
        <v>62000</v>
      </c>
      <c r="I86" s="11">
        <f t="shared" si="3"/>
        <v>6200000</v>
      </c>
      <c r="J86" t="str">
        <f t="shared" si="4"/>
        <v>Non-Compliant</v>
      </c>
    </row>
    <row r="87" spans="1:10" x14ac:dyDescent="0.25">
      <c r="A87" s="4" t="s">
        <v>388</v>
      </c>
      <c r="B87" s="18">
        <v>46044</v>
      </c>
      <c r="C87" s="4" t="s">
        <v>53</v>
      </c>
      <c r="D87" s="5" t="s">
        <v>54</v>
      </c>
      <c r="E87" s="4" t="s">
        <v>173</v>
      </c>
      <c r="F87" s="18">
        <f>_xlfn.XLOOKUP(E87, Inbound_Batch!$A$5:$A$324, Inbound_Batch!$F$5:$F$324,,0)</f>
        <v>46584</v>
      </c>
      <c r="G87" s="6">
        <v>50</v>
      </c>
      <c r="H87" s="7">
        <v>52000</v>
      </c>
      <c r="I87" s="7">
        <f t="shared" si="3"/>
        <v>2600000</v>
      </c>
      <c r="J87" t="str">
        <f t="shared" si="4"/>
        <v>Non-Compliant</v>
      </c>
    </row>
    <row r="88" spans="1:10" x14ac:dyDescent="0.25">
      <c r="A88" s="8" t="s">
        <v>388</v>
      </c>
      <c r="B88" s="19">
        <v>46044</v>
      </c>
      <c r="C88" s="8" t="s">
        <v>53</v>
      </c>
      <c r="D88" s="9" t="s">
        <v>54</v>
      </c>
      <c r="E88" s="8" t="s">
        <v>309</v>
      </c>
      <c r="F88" s="18">
        <f>_xlfn.XLOOKUP(E88, Inbound_Batch!$A$5:$A$324, Inbound_Batch!$F$5:$F$324,,0)</f>
        <v>46587</v>
      </c>
      <c r="G88" s="10">
        <v>250</v>
      </c>
      <c r="H88" s="11">
        <v>57000</v>
      </c>
      <c r="I88" s="11">
        <f t="shared" si="3"/>
        <v>14250000</v>
      </c>
      <c r="J88" t="str">
        <f t="shared" si="4"/>
        <v>Non-Compliant</v>
      </c>
    </row>
    <row r="89" spans="1:10" x14ac:dyDescent="0.25">
      <c r="A89" s="4" t="s">
        <v>388</v>
      </c>
      <c r="B89" s="18">
        <v>46044</v>
      </c>
      <c r="C89" s="4" t="s">
        <v>53</v>
      </c>
      <c r="D89" s="5" t="s">
        <v>54</v>
      </c>
      <c r="E89" s="4" t="s">
        <v>89</v>
      </c>
      <c r="F89" s="18">
        <f>_xlfn.XLOOKUP(E89, Inbound_Batch!$A$5:$A$324, Inbound_Batch!$F$5:$F$324,,0)</f>
        <v>46589</v>
      </c>
      <c r="G89" s="6">
        <v>250</v>
      </c>
      <c r="H89" s="7">
        <v>50000</v>
      </c>
      <c r="I89" s="7">
        <f t="shared" si="3"/>
        <v>12500000</v>
      </c>
      <c r="J89" t="str">
        <f t="shared" si="4"/>
        <v>Non-Compliant</v>
      </c>
    </row>
    <row r="90" spans="1:10" x14ac:dyDescent="0.25">
      <c r="A90" s="8" t="s">
        <v>388</v>
      </c>
      <c r="B90" s="19">
        <v>46044</v>
      </c>
      <c r="C90" s="8" t="s">
        <v>53</v>
      </c>
      <c r="D90" s="9" t="s">
        <v>54</v>
      </c>
      <c r="E90" s="8" t="s">
        <v>162</v>
      </c>
      <c r="F90" s="18">
        <f>_xlfn.XLOOKUP(E90, Inbound_Batch!$A$5:$A$324, Inbound_Batch!$F$5:$F$324,,0)</f>
        <v>46602</v>
      </c>
      <c r="G90" s="10">
        <v>50</v>
      </c>
      <c r="H90" s="11">
        <v>53000</v>
      </c>
      <c r="I90" s="11">
        <f t="shared" si="3"/>
        <v>2650000</v>
      </c>
      <c r="J90" t="str">
        <f t="shared" si="4"/>
        <v>Non-Compliant</v>
      </c>
    </row>
    <row r="91" spans="1:10" x14ac:dyDescent="0.25">
      <c r="A91" s="4" t="s">
        <v>387</v>
      </c>
      <c r="B91" s="18">
        <v>46072</v>
      </c>
      <c r="C91" s="4" t="s">
        <v>33</v>
      </c>
      <c r="D91" s="5" t="s">
        <v>34</v>
      </c>
      <c r="E91" s="4" t="s">
        <v>222</v>
      </c>
      <c r="F91" s="18">
        <f>_xlfn.XLOOKUP(E91, Inbound_Batch!$A$5:$A$324, Inbound_Batch!$F$5:$F$324,,0)</f>
        <v>46395</v>
      </c>
      <c r="G91" s="6">
        <v>200</v>
      </c>
      <c r="H91" s="7">
        <v>57000</v>
      </c>
      <c r="I91" s="7">
        <f t="shared" si="3"/>
        <v>11400000</v>
      </c>
      <c r="J91" t="str">
        <f t="shared" si="4"/>
        <v>Non-Compliant</v>
      </c>
    </row>
    <row r="92" spans="1:10" x14ac:dyDescent="0.25">
      <c r="A92" s="8" t="s">
        <v>387</v>
      </c>
      <c r="B92" s="19">
        <v>46072</v>
      </c>
      <c r="C92" s="8" t="s">
        <v>33</v>
      </c>
      <c r="D92" s="9" t="s">
        <v>34</v>
      </c>
      <c r="E92" s="8" t="s">
        <v>248</v>
      </c>
      <c r="F92" s="18">
        <f>_xlfn.XLOOKUP(E92, Inbound_Batch!$A$5:$A$324, Inbound_Batch!$F$5:$F$324,,0)</f>
        <v>46040</v>
      </c>
      <c r="G92" s="10">
        <v>250</v>
      </c>
      <c r="H92" s="11">
        <v>59000</v>
      </c>
      <c r="I92" s="11">
        <f t="shared" si="3"/>
        <v>14750000</v>
      </c>
      <c r="J92" t="str">
        <f t="shared" si="4"/>
        <v>Non-Compliant</v>
      </c>
    </row>
    <row r="93" spans="1:10" x14ac:dyDescent="0.25">
      <c r="A93" s="4" t="s">
        <v>387</v>
      </c>
      <c r="B93" s="18">
        <v>46072</v>
      </c>
      <c r="C93" s="4" t="s">
        <v>33</v>
      </c>
      <c r="D93" s="5" t="s">
        <v>34</v>
      </c>
      <c r="E93" s="4" t="s">
        <v>295</v>
      </c>
      <c r="F93" s="18">
        <f>_xlfn.XLOOKUP(E93, Inbound_Batch!$A$5:$A$324, Inbound_Batch!$F$5:$F$324,,0)</f>
        <v>46417</v>
      </c>
      <c r="G93" s="6">
        <v>50</v>
      </c>
      <c r="H93" s="7">
        <v>61000</v>
      </c>
      <c r="I93" s="7">
        <f t="shared" si="3"/>
        <v>3050000</v>
      </c>
      <c r="J93" t="str">
        <f t="shared" si="4"/>
        <v>Non-Compliant</v>
      </c>
    </row>
    <row r="94" spans="1:10" x14ac:dyDescent="0.25">
      <c r="A94" s="8" t="s">
        <v>386</v>
      </c>
      <c r="B94" s="19">
        <v>46091</v>
      </c>
      <c r="C94" s="8" t="s">
        <v>45</v>
      </c>
      <c r="D94" s="9" t="s">
        <v>46</v>
      </c>
      <c r="E94" s="8" t="s">
        <v>332</v>
      </c>
      <c r="F94" s="18">
        <f>_xlfn.XLOOKUP(E94, Inbound_Batch!$A$5:$A$324, Inbound_Batch!$F$5:$F$324,,0)</f>
        <v>46519</v>
      </c>
      <c r="G94" s="10">
        <v>650</v>
      </c>
      <c r="H94" s="11">
        <v>90000</v>
      </c>
      <c r="I94" s="11">
        <f t="shared" si="3"/>
        <v>58500000</v>
      </c>
      <c r="J94" t="str">
        <f t="shared" si="4"/>
        <v>Non-Compliant</v>
      </c>
    </row>
    <row r="95" spans="1:10" x14ac:dyDescent="0.25">
      <c r="A95" s="4" t="s">
        <v>386</v>
      </c>
      <c r="B95" s="18">
        <v>46091</v>
      </c>
      <c r="C95" s="4" t="s">
        <v>45</v>
      </c>
      <c r="D95" s="5" t="s">
        <v>46</v>
      </c>
      <c r="E95" s="4" t="s">
        <v>339</v>
      </c>
      <c r="F95" s="18">
        <f>_xlfn.XLOOKUP(E95, Inbound_Batch!$A$5:$A$324, Inbound_Batch!$F$5:$F$324,,0)</f>
        <v>46528</v>
      </c>
      <c r="G95" s="6">
        <v>300</v>
      </c>
      <c r="H95" s="7">
        <v>90000</v>
      </c>
      <c r="I95" s="7">
        <f t="shared" si="3"/>
        <v>27000000</v>
      </c>
      <c r="J95" t="str">
        <f t="shared" si="4"/>
        <v>Non-Compliant</v>
      </c>
    </row>
    <row r="96" spans="1:10" x14ac:dyDescent="0.25">
      <c r="A96" s="8" t="s">
        <v>386</v>
      </c>
      <c r="B96" s="19">
        <v>46091</v>
      </c>
      <c r="C96" s="8" t="s">
        <v>45</v>
      </c>
      <c r="D96" s="9" t="s">
        <v>46</v>
      </c>
      <c r="E96" s="8" t="s">
        <v>334</v>
      </c>
      <c r="F96" s="18">
        <f>_xlfn.XLOOKUP(E96, Inbound_Batch!$A$5:$A$324, Inbound_Batch!$F$5:$F$324,,0)</f>
        <v>46539</v>
      </c>
      <c r="G96" s="10">
        <v>50</v>
      </c>
      <c r="H96" s="11">
        <v>87000</v>
      </c>
      <c r="I96" s="11">
        <f t="shared" si="3"/>
        <v>4350000</v>
      </c>
      <c r="J96" t="str">
        <f t="shared" si="4"/>
        <v>Non-Compliant</v>
      </c>
    </row>
    <row r="97" spans="1:10" x14ac:dyDescent="0.25">
      <c r="A97" s="4" t="s">
        <v>385</v>
      </c>
      <c r="B97" s="18">
        <v>46098</v>
      </c>
      <c r="C97" s="4" t="s">
        <v>33</v>
      </c>
      <c r="D97" s="5" t="s">
        <v>34</v>
      </c>
      <c r="E97" s="4" t="s">
        <v>295</v>
      </c>
      <c r="F97" s="18">
        <f>_xlfn.XLOOKUP(E97, Inbound_Batch!$A$5:$A$324, Inbound_Batch!$F$5:$F$324,,0)</f>
        <v>46417</v>
      </c>
      <c r="G97" s="6">
        <v>150</v>
      </c>
      <c r="H97" s="7">
        <v>61000</v>
      </c>
      <c r="I97" s="7">
        <f t="shared" si="3"/>
        <v>9150000</v>
      </c>
      <c r="J97" t="str">
        <f t="shared" si="4"/>
        <v>Non-Compliant</v>
      </c>
    </row>
    <row r="98" spans="1:10" x14ac:dyDescent="0.25">
      <c r="A98" s="8" t="s">
        <v>385</v>
      </c>
      <c r="B98" s="19">
        <v>46098</v>
      </c>
      <c r="C98" s="8" t="s">
        <v>33</v>
      </c>
      <c r="D98" s="9" t="s">
        <v>34</v>
      </c>
      <c r="E98" s="8" t="s">
        <v>223</v>
      </c>
      <c r="F98" s="18">
        <f>_xlfn.XLOOKUP(E98, Inbound_Batch!$A$5:$A$324, Inbound_Batch!$F$5:$F$324,,0)</f>
        <v>46423</v>
      </c>
      <c r="G98" s="10">
        <v>200</v>
      </c>
      <c r="H98" s="11">
        <v>62000</v>
      </c>
      <c r="I98" s="11">
        <f t="shared" si="3"/>
        <v>12400000</v>
      </c>
      <c r="J98" t="str">
        <f t="shared" si="4"/>
        <v>Non-Compliant</v>
      </c>
    </row>
    <row r="99" spans="1:10" x14ac:dyDescent="0.25">
      <c r="A99" s="4" t="s">
        <v>385</v>
      </c>
      <c r="B99" s="18">
        <v>46098</v>
      </c>
      <c r="C99" s="4" t="s">
        <v>33</v>
      </c>
      <c r="D99" s="5" t="s">
        <v>34</v>
      </c>
      <c r="E99" s="4" t="s">
        <v>87</v>
      </c>
      <c r="F99" s="18">
        <f>_xlfn.XLOOKUP(E99, Inbound_Batch!$A$5:$A$324, Inbound_Batch!$F$5:$F$324,,0)</f>
        <v>46442</v>
      </c>
      <c r="G99" s="6">
        <v>250</v>
      </c>
      <c r="H99" s="7">
        <v>56000</v>
      </c>
      <c r="I99" s="7">
        <f t="shared" si="3"/>
        <v>14000000</v>
      </c>
      <c r="J99" t="str">
        <f t="shared" si="4"/>
        <v>Non-Compliant</v>
      </c>
    </row>
    <row r="100" spans="1:10" x14ac:dyDescent="0.25">
      <c r="A100" s="8" t="s">
        <v>384</v>
      </c>
      <c r="B100" s="19">
        <v>46091</v>
      </c>
      <c r="C100" s="8" t="s">
        <v>45</v>
      </c>
      <c r="D100" s="9" t="s">
        <v>46</v>
      </c>
      <c r="E100" s="8" t="s">
        <v>334</v>
      </c>
      <c r="F100" s="18">
        <f>_xlfn.XLOOKUP(E100, Inbound_Batch!$A$5:$A$324, Inbound_Batch!$F$5:$F$324,,0)</f>
        <v>46539</v>
      </c>
      <c r="G100" s="10">
        <v>700</v>
      </c>
      <c r="H100" s="11">
        <v>87000</v>
      </c>
      <c r="I100" s="11">
        <f t="shared" si="3"/>
        <v>60900000</v>
      </c>
      <c r="J100" t="str">
        <f t="shared" si="4"/>
        <v>Non-Compliant</v>
      </c>
    </row>
    <row r="101" spans="1:10" x14ac:dyDescent="0.25">
      <c r="A101" s="4" t="s">
        <v>384</v>
      </c>
      <c r="B101" s="18">
        <v>46091</v>
      </c>
      <c r="C101" s="4" t="s">
        <v>45</v>
      </c>
      <c r="D101" s="5" t="s">
        <v>46</v>
      </c>
      <c r="E101" s="4" t="s">
        <v>154</v>
      </c>
      <c r="F101" s="18">
        <f>_xlfn.XLOOKUP(E101, Inbound_Batch!$A$5:$A$324, Inbound_Batch!$F$5:$F$324,,0)</f>
        <v>46551</v>
      </c>
      <c r="G101" s="6">
        <v>200</v>
      </c>
      <c r="H101" s="7">
        <v>97000</v>
      </c>
      <c r="I101" s="7">
        <f t="shared" ref="I101:I132" si="5">G101*H101</f>
        <v>19400000</v>
      </c>
      <c r="J101" t="str">
        <f t="shared" si="4"/>
        <v>Non-Compliant</v>
      </c>
    </row>
    <row r="102" spans="1:10" x14ac:dyDescent="0.25">
      <c r="A102" s="8" t="s">
        <v>384</v>
      </c>
      <c r="B102" s="19">
        <v>46091</v>
      </c>
      <c r="C102" s="8" t="s">
        <v>45</v>
      </c>
      <c r="D102" s="9" t="s">
        <v>46</v>
      </c>
      <c r="E102" s="8" t="s">
        <v>164</v>
      </c>
      <c r="F102" s="18">
        <f>_xlfn.XLOOKUP(E102, Inbound_Batch!$A$5:$A$324, Inbound_Batch!$F$5:$F$324,,0)</f>
        <v>46554</v>
      </c>
      <c r="G102" s="10">
        <v>100</v>
      </c>
      <c r="H102" s="11">
        <v>95000</v>
      </c>
      <c r="I102" s="11">
        <f t="shared" si="5"/>
        <v>9500000</v>
      </c>
      <c r="J102" t="str">
        <f t="shared" si="4"/>
        <v>Non-Compliant</v>
      </c>
    </row>
    <row r="103" spans="1:10" x14ac:dyDescent="0.25">
      <c r="A103" s="4" t="s">
        <v>383</v>
      </c>
      <c r="B103" s="18">
        <v>46052</v>
      </c>
      <c r="C103" s="4" t="s">
        <v>19</v>
      </c>
      <c r="D103" s="5" t="s">
        <v>20</v>
      </c>
      <c r="E103" s="4" t="s">
        <v>256</v>
      </c>
      <c r="F103" s="18">
        <f>_xlfn.XLOOKUP(E103, Inbound_Batch!$A$5:$A$324, Inbound_Batch!$F$5:$F$324,,0)</f>
        <v>46401</v>
      </c>
      <c r="G103" s="6">
        <v>400</v>
      </c>
      <c r="H103" s="7">
        <v>50000</v>
      </c>
      <c r="I103" s="7">
        <f t="shared" si="5"/>
        <v>20000000</v>
      </c>
      <c r="J103" t="str">
        <f t="shared" si="4"/>
        <v>Non-Compliant</v>
      </c>
    </row>
    <row r="104" spans="1:10" x14ac:dyDescent="0.25">
      <c r="A104" s="8" t="s">
        <v>382</v>
      </c>
      <c r="B104" s="19">
        <v>46120</v>
      </c>
      <c r="C104" s="8" t="s">
        <v>29</v>
      </c>
      <c r="D104" s="9" t="s">
        <v>30</v>
      </c>
      <c r="E104" s="8" t="s">
        <v>227</v>
      </c>
      <c r="F104" s="18">
        <f>_xlfn.XLOOKUP(E104, Inbound_Batch!$A$5:$A$324, Inbound_Batch!$F$5:$F$324,,0)</f>
        <v>46455</v>
      </c>
      <c r="G104" s="10">
        <v>250</v>
      </c>
      <c r="H104" s="11">
        <v>27000</v>
      </c>
      <c r="I104" s="11">
        <f t="shared" si="5"/>
        <v>6750000</v>
      </c>
      <c r="J104" t="str">
        <f t="shared" si="4"/>
        <v>Non-Compliant</v>
      </c>
    </row>
    <row r="105" spans="1:10" x14ac:dyDescent="0.25">
      <c r="A105" s="4" t="s">
        <v>382</v>
      </c>
      <c r="B105" s="18">
        <v>46120</v>
      </c>
      <c r="C105" s="4" t="s">
        <v>29</v>
      </c>
      <c r="D105" s="5" t="s">
        <v>30</v>
      </c>
      <c r="E105" s="4" t="s">
        <v>167</v>
      </c>
      <c r="F105" s="18">
        <f>_xlfn.XLOOKUP(E105, Inbound_Batch!$A$5:$A$324, Inbound_Batch!$F$5:$F$324,,0)</f>
        <v>46463</v>
      </c>
      <c r="G105" s="6">
        <v>50</v>
      </c>
      <c r="H105" s="7">
        <v>29000</v>
      </c>
      <c r="I105" s="7">
        <f t="shared" si="5"/>
        <v>1450000</v>
      </c>
      <c r="J105" t="str">
        <f t="shared" si="4"/>
        <v>Non-Compliant</v>
      </c>
    </row>
    <row r="106" spans="1:10" x14ac:dyDescent="0.25">
      <c r="A106" s="8" t="s">
        <v>381</v>
      </c>
      <c r="B106" s="19">
        <v>46041</v>
      </c>
      <c r="C106" s="8" t="s">
        <v>4</v>
      </c>
      <c r="D106" s="9" t="s">
        <v>5</v>
      </c>
      <c r="E106" s="8" t="s">
        <v>239</v>
      </c>
      <c r="F106" s="18">
        <f>_xlfn.XLOOKUP(E106, Inbound_Batch!$A$5:$A$324, Inbound_Batch!$F$5:$F$324,,0)</f>
        <v>46848</v>
      </c>
      <c r="G106" s="10">
        <v>50</v>
      </c>
      <c r="H106" s="11">
        <v>81000</v>
      </c>
      <c r="I106" s="11">
        <f t="shared" si="5"/>
        <v>4050000</v>
      </c>
      <c r="J106" t="str">
        <f t="shared" si="4"/>
        <v>Non-Compliant</v>
      </c>
    </row>
    <row r="107" spans="1:10" x14ac:dyDescent="0.25">
      <c r="A107" s="4" t="s">
        <v>381</v>
      </c>
      <c r="B107" s="18">
        <v>46041</v>
      </c>
      <c r="C107" s="4" t="s">
        <v>4</v>
      </c>
      <c r="D107" s="5" t="s">
        <v>5</v>
      </c>
      <c r="E107" s="4" t="s">
        <v>218</v>
      </c>
      <c r="F107" s="18">
        <f>_xlfn.XLOOKUP(E107, Inbound_Batch!$A$5:$A$324, Inbound_Batch!$F$5:$F$324,,0)</f>
        <v>46483</v>
      </c>
      <c r="G107" s="6">
        <v>100</v>
      </c>
      <c r="H107" s="7">
        <v>88000</v>
      </c>
      <c r="I107" s="7">
        <f t="shared" si="5"/>
        <v>8800000</v>
      </c>
      <c r="J107" t="str">
        <f t="shared" si="4"/>
        <v>Non-Compliant</v>
      </c>
    </row>
    <row r="108" spans="1:10" x14ac:dyDescent="0.25">
      <c r="A108" s="8" t="s">
        <v>381</v>
      </c>
      <c r="B108" s="19">
        <v>46041</v>
      </c>
      <c r="C108" s="8" t="s">
        <v>4</v>
      </c>
      <c r="D108" s="9" t="s">
        <v>5</v>
      </c>
      <c r="E108" s="8" t="s">
        <v>36</v>
      </c>
      <c r="F108" s="18">
        <f>_xlfn.XLOOKUP(E108, Inbound_Batch!$A$5:$A$324, Inbound_Batch!$F$5:$F$324,,0)</f>
        <v>46507</v>
      </c>
      <c r="G108" s="10">
        <v>250</v>
      </c>
      <c r="H108" s="11">
        <v>87000</v>
      </c>
      <c r="I108" s="11">
        <f t="shared" si="5"/>
        <v>21750000</v>
      </c>
      <c r="J108" t="str">
        <f t="shared" si="4"/>
        <v>Non-Compliant</v>
      </c>
    </row>
    <row r="109" spans="1:10" x14ac:dyDescent="0.25">
      <c r="A109" s="4" t="s">
        <v>380</v>
      </c>
      <c r="B109" s="18">
        <v>46101</v>
      </c>
      <c r="C109" s="4" t="s">
        <v>29</v>
      </c>
      <c r="D109" s="5" t="s">
        <v>30</v>
      </c>
      <c r="E109" s="4" t="s">
        <v>167</v>
      </c>
      <c r="F109" s="18">
        <f>_xlfn.XLOOKUP(E109, Inbound_Batch!$A$5:$A$324, Inbound_Batch!$F$5:$F$324,,0)</f>
        <v>46463</v>
      </c>
      <c r="G109" s="6">
        <v>50</v>
      </c>
      <c r="H109" s="7">
        <v>29000</v>
      </c>
      <c r="I109" s="7">
        <f t="shared" si="5"/>
        <v>1450000</v>
      </c>
      <c r="J109" t="str">
        <f t="shared" si="4"/>
        <v>Non-Compliant</v>
      </c>
    </row>
    <row r="110" spans="1:10" x14ac:dyDescent="0.25">
      <c r="A110" s="8" t="s">
        <v>380</v>
      </c>
      <c r="B110" s="19">
        <v>46101</v>
      </c>
      <c r="C110" s="8" t="s">
        <v>29</v>
      </c>
      <c r="D110" s="9" t="s">
        <v>30</v>
      </c>
      <c r="E110" s="8" t="s">
        <v>191</v>
      </c>
      <c r="F110" s="18">
        <f>_xlfn.XLOOKUP(E110, Inbound_Batch!$A$5:$A$324, Inbound_Batch!$F$5:$F$324,,0)</f>
        <v>46464</v>
      </c>
      <c r="G110" s="10">
        <v>100</v>
      </c>
      <c r="H110" s="11">
        <v>26000</v>
      </c>
      <c r="I110" s="11">
        <f t="shared" si="5"/>
        <v>2600000</v>
      </c>
      <c r="J110" t="str">
        <f t="shared" si="4"/>
        <v>Non-Compliant</v>
      </c>
    </row>
    <row r="111" spans="1:10" x14ac:dyDescent="0.25">
      <c r="A111" s="4" t="s">
        <v>379</v>
      </c>
      <c r="B111" s="18">
        <v>46120</v>
      </c>
      <c r="C111" s="4" t="s">
        <v>16</v>
      </c>
      <c r="D111" s="5" t="s">
        <v>17</v>
      </c>
      <c r="E111" s="4" t="s">
        <v>78</v>
      </c>
      <c r="F111" s="18">
        <f>_xlfn.XLOOKUP(E111, Inbound_Batch!$A$5:$A$324, Inbound_Batch!$F$5:$F$324,,0)</f>
        <v>46442</v>
      </c>
      <c r="G111" s="6">
        <v>550</v>
      </c>
      <c r="H111" s="7">
        <v>72000</v>
      </c>
      <c r="I111" s="7">
        <f t="shared" si="5"/>
        <v>39600000</v>
      </c>
      <c r="J111" t="str">
        <f t="shared" si="4"/>
        <v>Non-Compliant</v>
      </c>
    </row>
    <row r="112" spans="1:10" x14ac:dyDescent="0.25">
      <c r="A112" s="8" t="s">
        <v>379</v>
      </c>
      <c r="B112" s="19">
        <v>46120</v>
      </c>
      <c r="C112" s="8" t="s">
        <v>16</v>
      </c>
      <c r="D112" s="9" t="s">
        <v>17</v>
      </c>
      <c r="E112" s="8" t="s">
        <v>303</v>
      </c>
      <c r="F112" s="18">
        <f>_xlfn.XLOOKUP(E112, Inbound_Batch!$A$5:$A$324, Inbound_Batch!$F$5:$F$324,,0)</f>
        <v>46442</v>
      </c>
      <c r="G112" s="10">
        <v>50</v>
      </c>
      <c r="H112" s="11">
        <v>61000</v>
      </c>
      <c r="I112" s="11">
        <f t="shared" si="5"/>
        <v>3050000</v>
      </c>
      <c r="J112" t="str">
        <f t="shared" si="4"/>
        <v>Non-Compliant</v>
      </c>
    </row>
    <row r="113" spans="1:10" x14ac:dyDescent="0.25">
      <c r="A113" s="4" t="s">
        <v>378</v>
      </c>
      <c r="B113" s="18">
        <v>46118</v>
      </c>
      <c r="C113" s="4" t="s">
        <v>12</v>
      </c>
      <c r="D113" s="5" t="s">
        <v>13</v>
      </c>
      <c r="E113" s="4" t="s">
        <v>86</v>
      </c>
      <c r="F113" s="18">
        <f>_xlfn.XLOOKUP(E113, Inbound_Batch!$A$5:$A$324, Inbound_Batch!$F$5:$F$324,,0)</f>
        <v>46508</v>
      </c>
      <c r="G113" s="6">
        <v>50</v>
      </c>
      <c r="H113" s="7">
        <v>29000</v>
      </c>
      <c r="I113" s="7">
        <f t="shared" si="5"/>
        <v>1450000</v>
      </c>
      <c r="J113" t="str">
        <f t="shared" si="4"/>
        <v>Non-Compliant</v>
      </c>
    </row>
    <row r="114" spans="1:10" x14ac:dyDescent="0.25">
      <c r="A114" s="8" t="s">
        <v>378</v>
      </c>
      <c r="B114" s="19">
        <v>46118</v>
      </c>
      <c r="C114" s="8" t="s">
        <v>12</v>
      </c>
      <c r="D114" s="9" t="s">
        <v>13</v>
      </c>
      <c r="E114" s="8" t="s">
        <v>95</v>
      </c>
      <c r="F114" s="18">
        <f>_xlfn.XLOOKUP(E114, Inbound_Batch!$A$5:$A$324, Inbound_Batch!$F$5:$F$324,,0)</f>
        <v>46520</v>
      </c>
      <c r="G114" s="10">
        <v>250</v>
      </c>
      <c r="H114" s="11">
        <v>32000</v>
      </c>
      <c r="I114" s="11">
        <f t="shared" si="5"/>
        <v>8000000</v>
      </c>
      <c r="J114" t="str">
        <f t="shared" si="4"/>
        <v>Non-Compliant</v>
      </c>
    </row>
    <row r="115" spans="1:10" x14ac:dyDescent="0.25">
      <c r="A115" s="4" t="s">
        <v>378</v>
      </c>
      <c r="B115" s="18">
        <v>46118</v>
      </c>
      <c r="C115" s="4" t="s">
        <v>12</v>
      </c>
      <c r="D115" s="5" t="s">
        <v>13</v>
      </c>
      <c r="E115" s="4" t="s">
        <v>152</v>
      </c>
      <c r="F115" s="18">
        <f>_xlfn.XLOOKUP(E115, Inbound_Batch!$A$5:$A$324, Inbound_Batch!$F$5:$F$324,,0)</f>
        <v>46530</v>
      </c>
      <c r="G115" s="6">
        <v>200</v>
      </c>
      <c r="H115" s="7">
        <v>29000</v>
      </c>
      <c r="I115" s="7">
        <f t="shared" si="5"/>
        <v>5800000</v>
      </c>
      <c r="J115" t="str">
        <f t="shared" si="4"/>
        <v>Non-Compliant</v>
      </c>
    </row>
    <row r="116" spans="1:10" x14ac:dyDescent="0.25">
      <c r="A116" s="8" t="s">
        <v>378</v>
      </c>
      <c r="B116" s="19">
        <v>46118</v>
      </c>
      <c r="C116" s="8" t="s">
        <v>12</v>
      </c>
      <c r="D116" s="9" t="s">
        <v>13</v>
      </c>
      <c r="E116" s="8" t="s">
        <v>267</v>
      </c>
      <c r="F116" s="18">
        <f>_xlfn.XLOOKUP(E116, Inbound_Batch!$A$5:$A$324, Inbound_Batch!$F$5:$F$324,,0)</f>
        <v>46536</v>
      </c>
      <c r="G116" s="10">
        <v>500</v>
      </c>
      <c r="H116" s="11">
        <v>28000</v>
      </c>
      <c r="I116" s="11">
        <f t="shared" si="5"/>
        <v>14000000</v>
      </c>
      <c r="J116" t="str">
        <f t="shared" si="4"/>
        <v>Non-Compliant</v>
      </c>
    </row>
    <row r="117" spans="1:10" x14ac:dyDescent="0.25">
      <c r="A117" s="4" t="s">
        <v>377</v>
      </c>
      <c r="B117" s="18">
        <v>46068</v>
      </c>
      <c r="C117" s="4" t="s">
        <v>4</v>
      </c>
      <c r="D117" s="5" t="s">
        <v>5</v>
      </c>
      <c r="E117" s="4" t="s">
        <v>36</v>
      </c>
      <c r="F117" s="18">
        <f>_xlfn.XLOOKUP(E117, Inbound_Batch!$A$5:$A$324, Inbound_Batch!$F$5:$F$324,,0)</f>
        <v>46507</v>
      </c>
      <c r="G117" s="6">
        <v>150</v>
      </c>
      <c r="H117" s="7">
        <v>87000</v>
      </c>
      <c r="I117" s="7">
        <f t="shared" si="5"/>
        <v>13050000</v>
      </c>
      <c r="J117" t="str">
        <f t="shared" si="4"/>
        <v>Non-Compliant</v>
      </c>
    </row>
    <row r="118" spans="1:10" x14ac:dyDescent="0.25">
      <c r="A118" s="8" t="s">
        <v>376</v>
      </c>
      <c r="B118" s="19">
        <v>46052</v>
      </c>
      <c r="C118" s="8" t="s">
        <v>16</v>
      </c>
      <c r="D118" s="9" t="s">
        <v>17</v>
      </c>
      <c r="E118" s="8" t="s">
        <v>303</v>
      </c>
      <c r="F118" s="18">
        <f>_xlfn.XLOOKUP(E118, Inbound_Batch!$A$5:$A$324, Inbound_Batch!$F$5:$F$324,,0)</f>
        <v>46442</v>
      </c>
      <c r="G118" s="10">
        <v>250</v>
      </c>
      <c r="H118" s="11">
        <v>61000</v>
      </c>
      <c r="I118" s="11">
        <f t="shared" si="5"/>
        <v>15250000</v>
      </c>
      <c r="J118" t="str">
        <f t="shared" si="4"/>
        <v>Non-Compliant</v>
      </c>
    </row>
    <row r="119" spans="1:10" x14ac:dyDescent="0.25">
      <c r="A119" s="4" t="s">
        <v>376</v>
      </c>
      <c r="B119" s="18">
        <v>46052</v>
      </c>
      <c r="C119" s="4" t="s">
        <v>16</v>
      </c>
      <c r="D119" s="5" t="s">
        <v>17</v>
      </c>
      <c r="E119" s="4" t="s">
        <v>190</v>
      </c>
      <c r="F119" s="18">
        <f>_xlfn.XLOOKUP(E119, Inbound_Batch!$A$5:$A$324, Inbound_Batch!$F$5:$F$324,,0)</f>
        <v>46495</v>
      </c>
      <c r="G119" s="6">
        <v>150</v>
      </c>
      <c r="H119" s="7">
        <v>65000</v>
      </c>
      <c r="I119" s="7">
        <f t="shared" si="5"/>
        <v>9750000</v>
      </c>
      <c r="J119" t="str">
        <f t="shared" si="4"/>
        <v>Non-Compliant</v>
      </c>
    </row>
    <row r="120" spans="1:10" x14ac:dyDescent="0.25">
      <c r="A120" s="8" t="s">
        <v>375</v>
      </c>
      <c r="B120" s="19">
        <v>46050</v>
      </c>
      <c r="C120" s="8" t="s">
        <v>12</v>
      </c>
      <c r="D120" s="9" t="s">
        <v>13</v>
      </c>
      <c r="E120" s="8" t="s">
        <v>267</v>
      </c>
      <c r="F120" s="18">
        <f>_xlfn.XLOOKUP(E120, Inbound_Batch!$A$5:$A$324, Inbound_Batch!$F$5:$F$324,,0)</f>
        <v>46536</v>
      </c>
      <c r="G120" s="10">
        <v>400</v>
      </c>
      <c r="H120" s="11">
        <v>28000</v>
      </c>
      <c r="I120" s="11">
        <f t="shared" si="5"/>
        <v>11200000</v>
      </c>
      <c r="J120" t="str">
        <f t="shared" si="4"/>
        <v>Non-Compliant</v>
      </c>
    </row>
    <row r="121" spans="1:10" x14ac:dyDescent="0.25">
      <c r="A121" s="4" t="s">
        <v>374</v>
      </c>
      <c r="B121" s="18">
        <v>46059</v>
      </c>
      <c r="C121" s="4" t="s">
        <v>19</v>
      </c>
      <c r="D121" s="5" t="s">
        <v>20</v>
      </c>
      <c r="E121" s="4" t="s">
        <v>330</v>
      </c>
      <c r="F121" s="18">
        <f>_xlfn.XLOOKUP(E121, Inbound_Batch!$A$5:$A$324, Inbound_Batch!$F$5:$F$324,,0)</f>
        <v>46408</v>
      </c>
      <c r="G121" s="6">
        <v>200</v>
      </c>
      <c r="H121" s="7">
        <v>45000</v>
      </c>
      <c r="I121" s="7">
        <f t="shared" si="5"/>
        <v>9000000</v>
      </c>
      <c r="J121" t="str">
        <f t="shared" si="4"/>
        <v>Non-Compliant</v>
      </c>
    </row>
    <row r="122" spans="1:10" x14ac:dyDescent="0.25">
      <c r="A122" s="8" t="s">
        <v>373</v>
      </c>
      <c r="B122" s="19">
        <v>46121</v>
      </c>
      <c r="C122" s="8" t="s">
        <v>25</v>
      </c>
      <c r="D122" s="9" t="s">
        <v>26</v>
      </c>
      <c r="E122" s="8" t="s">
        <v>296</v>
      </c>
      <c r="F122" s="18">
        <f>_xlfn.XLOOKUP(E122, Inbound_Batch!$A$5:$A$324, Inbound_Batch!$F$5:$F$324,,0)</f>
        <v>46503</v>
      </c>
      <c r="G122" s="10">
        <v>200</v>
      </c>
      <c r="H122" s="11">
        <v>62000</v>
      </c>
      <c r="I122" s="11">
        <f t="shared" si="5"/>
        <v>12400000</v>
      </c>
      <c r="J122" t="str">
        <f t="shared" si="4"/>
        <v>Non-Compliant</v>
      </c>
    </row>
    <row r="123" spans="1:10" x14ac:dyDescent="0.25">
      <c r="A123" s="4" t="s">
        <v>372</v>
      </c>
      <c r="B123" s="18">
        <v>46109</v>
      </c>
      <c r="C123" s="4" t="s">
        <v>45</v>
      </c>
      <c r="D123" s="5" t="s">
        <v>46</v>
      </c>
      <c r="E123" s="4" t="s">
        <v>164</v>
      </c>
      <c r="F123" s="18">
        <f>_xlfn.XLOOKUP(E123, Inbound_Batch!$A$5:$A$324, Inbound_Batch!$F$5:$F$324,,0)</f>
        <v>46554</v>
      </c>
      <c r="G123" s="6">
        <v>150</v>
      </c>
      <c r="H123" s="7">
        <v>95000</v>
      </c>
      <c r="I123" s="7">
        <f t="shared" si="5"/>
        <v>14250000</v>
      </c>
      <c r="J123" t="str">
        <f t="shared" si="4"/>
        <v>Non-Compliant</v>
      </c>
    </row>
    <row r="124" spans="1:10" x14ac:dyDescent="0.25">
      <c r="A124" s="8" t="s">
        <v>371</v>
      </c>
      <c r="B124" s="19">
        <v>46088</v>
      </c>
      <c r="C124" s="8" t="s">
        <v>8</v>
      </c>
      <c r="D124" s="9" t="s">
        <v>9</v>
      </c>
      <c r="E124" s="8" t="s">
        <v>297</v>
      </c>
      <c r="F124" s="18">
        <f>_xlfn.XLOOKUP(E124, Inbound_Batch!$A$5:$A$324, Inbound_Batch!$F$5:$F$324,,0)</f>
        <v>46741</v>
      </c>
      <c r="G124" s="10">
        <v>50</v>
      </c>
      <c r="H124" s="11">
        <v>38000</v>
      </c>
      <c r="I124" s="11">
        <f t="shared" si="5"/>
        <v>1900000</v>
      </c>
      <c r="J124" t="str">
        <f t="shared" si="4"/>
        <v>Non-Compliant</v>
      </c>
    </row>
    <row r="125" spans="1:10" x14ac:dyDescent="0.25">
      <c r="A125" s="4" t="s">
        <v>371</v>
      </c>
      <c r="B125" s="18">
        <v>46088</v>
      </c>
      <c r="C125" s="4" t="s">
        <v>8</v>
      </c>
      <c r="D125" s="5" t="s">
        <v>9</v>
      </c>
      <c r="E125" s="4" t="s">
        <v>71</v>
      </c>
      <c r="F125" s="18">
        <f>_xlfn.XLOOKUP(E125, Inbound_Batch!$A$5:$A$324, Inbound_Batch!$F$5:$F$324,,0)</f>
        <v>46422</v>
      </c>
      <c r="G125" s="6">
        <v>550</v>
      </c>
      <c r="H125" s="7">
        <v>33000</v>
      </c>
      <c r="I125" s="7">
        <f t="shared" si="5"/>
        <v>18150000</v>
      </c>
      <c r="J125" t="str">
        <f t="shared" si="4"/>
        <v>Non-Compliant</v>
      </c>
    </row>
    <row r="126" spans="1:10" x14ac:dyDescent="0.25">
      <c r="A126" s="8" t="s">
        <v>370</v>
      </c>
      <c r="B126" s="19">
        <v>46062</v>
      </c>
      <c r="C126" s="8" t="s">
        <v>4</v>
      </c>
      <c r="D126" s="9" t="s">
        <v>5</v>
      </c>
      <c r="E126" s="8" t="s">
        <v>36</v>
      </c>
      <c r="F126" s="18">
        <f>_xlfn.XLOOKUP(E126, Inbound_Batch!$A$5:$A$324, Inbound_Batch!$F$5:$F$324,,0)</f>
        <v>46507</v>
      </c>
      <c r="G126" s="10">
        <v>100</v>
      </c>
      <c r="H126" s="11">
        <v>87000</v>
      </c>
      <c r="I126" s="11">
        <f t="shared" si="5"/>
        <v>8700000</v>
      </c>
      <c r="J126" t="str">
        <f t="shared" si="4"/>
        <v>Non-Compliant</v>
      </c>
    </row>
    <row r="127" spans="1:10" x14ac:dyDescent="0.25">
      <c r="A127" s="4" t="s">
        <v>370</v>
      </c>
      <c r="B127" s="18">
        <v>46062</v>
      </c>
      <c r="C127" s="4" t="s">
        <v>4</v>
      </c>
      <c r="D127" s="5" t="s">
        <v>5</v>
      </c>
      <c r="E127" s="4" t="s">
        <v>157</v>
      </c>
      <c r="F127" s="18">
        <f>_xlfn.XLOOKUP(E127, Inbound_Batch!$A$5:$A$324, Inbound_Batch!$F$5:$F$324,,0)</f>
        <v>46518</v>
      </c>
      <c r="G127" s="6">
        <v>100</v>
      </c>
      <c r="H127" s="7">
        <v>85000</v>
      </c>
      <c r="I127" s="7">
        <f t="shared" si="5"/>
        <v>8500000</v>
      </c>
      <c r="J127" t="str">
        <f t="shared" si="4"/>
        <v>Non-Compliant</v>
      </c>
    </row>
    <row r="128" spans="1:10" x14ac:dyDescent="0.25">
      <c r="A128" s="8" t="s">
        <v>370</v>
      </c>
      <c r="B128" s="19">
        <v>46062</v>
      </c>
      <c r="C128" s="8" t="s">
        <v>4</v>
      </c>
      <c r="D128" s="9" t="s">
        <v>5</v>
      </c>
      <c r="E128" s="8" t="s">
        <v>181</v>
      </c>
      <c r="F128" s="18">
        <f>_xlfn.XLOOKUP(E128, Inbound_Batch!$A$5:$A$324, Inbound_Batch!$F$5:$F$324,,0)</f>
        <v>46550</v>
      </c>
      <c r="G128" s="10">
        <v>200</v>
      </c>
      <c r="H128" s="11">
        <v>75000</v>
      </c>
      <c r="I128" s="11">
        <f t="shared" si="5"/>
        <v>15000000</v>
      </c>
      <c r="J128" t="str">
        <f t="shared" si="4"/>
        <v>Non-Compliant</v>
      </c>
    </row>
    <row r="129" spans="1:10" x14ac:dyDescent="0.25">
      <c r="A129" s="4" t="s">
        <v>369</v>
      </c>
      <c r="B129" s="18">
        <v>46091</v>
      </c>
      <c r="C129" s="4" t="s">
        <v>25</v>
      </c>
      <c r="D129" s="5" t="s">
        <v>26</v>
      </c>
      <c r="E129" s="4" t="s">
        <v>226</v>
      </c>
      <c r="F129" s="18">
        <f>_xlfn.XLOOKUP(E129, Inbound_Batch!$A$5:$A$324, Inbound_Batch!$F$5:$F$324,,0)</f>
        <v>46504</v>
      </c>
      <c r="G129" s="6">
        <v>500</v>
      </c>
      <c r="H129" s="7">
        <v>59000</v>
      </c>
      <c r="I129" s="7">
        <f t="shared" si="5"/>
        <v>29500000</v>
      </c>
      <c r="J129" t="str">
        <f t="shared" si="4"/>
        <v>Non-Compliant</v>
      </c>
    </row>
    <row r="130" spans="1:10" x14ac:dyDescent="0.25">
      <c r="A130" s="8" t="s">
        <v>369</v>
      </c>
      <c r="B130" s="19">
        <v>46091</v>
      </c>
      <c r="C130" s="8" t="s">
        <v>25</v>
      </c>
      <c r="D130" s="9" t="s">
        <v>26</v>
      </c>
      <c r="E130" s="8" t="s">
        <v>249</v>
      </c>
      <c r="F130" s="18">
        <f>_xlfn.XLOOKUP(E130, Inbound_Batch!$A$5:$A$324, Inbound_Batch!$F$5:$F$324,,0)</f>
        <v>46508</v>
      </c>
      <c r="G130" s="10">
        <v>100</v>
      </c>
      <c r="H130" s="11">
        <v>59000</v>
      </c>
      <c r="I130" s="11">
        <f t="shared" si="5"/>
        <v>5900000</v>
      </c>
      <c r="J130" t="str">
        <f t="shared" si="4"/>
        <v>Non-Compliant</v>
      </c>
    </row>
    <row r="131" spans="1:10" x14ac:dyDescent="0.25">
      <c r="A131" s="4" t="s">
        <v>368</v>
      </c>
      <c r="B131" s="18">
        <v>46058</v>
      </c>
      <c r="C131" s="4" t="s">
        <v>8</v>
      </c>
      <c r="D131" s="5" t="s">
        <v>9</v>
      </c>
      <c r="E131" s="4" t="s">
        <v>71</v>
      </c>
      <c r="F131" s="18">
        <f>_xlfn.XLOOKUP(E131, Inbound_Batch!$A$5:$A$324, Inbound_Batch!$F$5:$F$324,,0)</f>
        <v>46422</v>
      </c>
      <c r="G131" s="6">
        <v>300</v>
      </c>
      <c r="H131" s="7">
        <v>33000</v>
      </c>
      <c r="I131" s="7">
        <f t="shared" si="5"/>
        <v>9900000</v>
      </c>
      <c r="J131" t="str">
        <f t="shared" si="4"/>
        <v>Non-Compliant</v>
      </c>
    </row>
    <row r="132" spans="1:10" x14ac:dyDescent="0.25">
      <c r="A132" s="8" t="s">
        <v>367</v>
      </c>
      <c r="B132" s="19">
        <v>46096</v>
      </c>
      <c r="C132" s="8" t="s">
        <v>12</v>
      </c>
      <c r="D132" s="9" t="s">
        <v>13</v>
      </c>
      <c r="E132" s="8" t="s">
        <v>267</v>
      </c>
      <c r="F132" s="18">
        <f>_xlfn.XLOOKUP(E132, Inbound_Batch!$A$5:$A$324, Inbound_Batch!$F$5:$F$324,,0)</f>
        <v>46536</v>
      </c>
      <c r="G132" s="10">
        <v>100</v>
      </c>
      <c r="H132" s="11">
        <v>28000</v>
      </c>
      <c r="I132" s="11">
        <f t="shared" si="5"/>
        <v>2800000</v>
      </c>
      <c r="J132" t="str">
        <f t="shared" si="4"/>
        <v>Non-Compliant</v>
      </c>
    </row>
    <row r="133" spans="1:10" x14ac:dyDescent="0.25">
      <c r="A133" s="4" t="s">
        <v>367</v>
      </c>
      <c r="B133" s="18">
        <v>46096</v>
      </c>
      <c r="C133" s="4" t="s">
        <v>12</v>
      </c>
      <c r="D133" s="5" t="s">
        <v>13</v>
      </c>
      <c r="E133" s="4" t="s">
        <v>228</v>
      </c>
      <c r="F133" s="18">
        <f>_xlfn.XLOOKUP(E133, Inbound_Batch!$A$5:$A$324, Inbound_Batch!$F$5:$F$324,,0)</f>
        <v>46915</v>
      </c>
      <c r="G133" s="6">
        <v>400</v>
      </c>
      <c r="H133" s="7">
        <v>32000</v>
      </c>
      <c r="I133" s="7">
        <f t="shared" ref="I133:I164" si="6">G133*H133</f>
        <v>12800000</v>
      </c>
      <c r="J133" t="str">
        <f t="shared" si="4"/>
        <v>Non-Compliant</v>
      </c>
    </row>
    <row r="134" spans="1:10" x14ac:dyDescent="0.25">
      <c r="A134" s="8" t="s">
        <v>366</v>
      </c>
      <c r="B134" s="19">
        <v>46048</v>
      </c>
      <c r="C134" s="8" t="s">
        <v>53</v>
      </c>
      <c r="D134" s="9" t="s">
        <v>54</v>
      </c>
      <c r="E134" s="8" t="s">
        <v>162</v>
      </c>
      <c r="F134" s="18">
        <f>_xlfn.XLOOKUP(E134, Inbound_Batch!$A$5:$A$324, Inbound_Batch!$F$5:$F$324,,0)</f>
        <v>46602</v>
      </c>
      <c r="G134" s="10">
        <v>50</v>
      </c>
      <c r="H134" s="11">
        <v>53000</v>
      </c>
      <c r="I134" s="11">
        <f t="shared" si="6"/>
        <v>2650000</v>
      </c>
      <c r="J134" t="str">
        <f t="shared" ref="J134:J174" si="7">IF(F134 &lt;= _xlfn.MINIFS($F$5:$F$174, $C$5:$C$174, C134), "Compliant", "Non-Compliant")</f>
        <v>Non-Compliant</v>
      </c>
    </row>
    <row r="135" spans="1:10" x14ac:dyDescent="0.25">
      <c r="A135" s="4" t="s">
        <v>366</v>
      </c>
      <c r="B135" s="18">
        <v>46048</v>
      </c>
      <c r="C135" s="4" t="s">
        <v>53</v>
      </c>
      <c r="D135" s="5" t="s">
        <v>54</v>
      </c>
      <c r="E135" s="4" t="s">
        <v>279</v>
      </c>
      <c r="F135" s="18">
        <f>_xlfn.XLOOKUP(E135, Inbound_Batch!$A$5:$A$324, Inbound_Batch!$F$5:$F$324,,0)</f>
        <v>46244</v>
      </c>
      <c r="G135" s="6">
        <v>200</v>
      </c>
      <c r="H135" s="7">
        <v>58000</v>
      </c>
      <c r="I135" s="7">
        <f t="shared" si="6"/>
        <v>11600000</v>
      </c>
      <c r="J135" t="str">
        <f t="shared" si="7"/>
        <v>Non-Compliant</v>
      </c>
    </row>
    <row r="136" spans="1:10" x14ac:dyDescent="0.25">
      <c r="A136" s="8" t="s">
        <v>366</v>
      </c>
      <c r="B136" s="19">
        <v>46048</v>
      </c>
      <c r="C136" s="8" t="s">
        <v>53</v>
      </c>
      <c r="D136" s="9" t="s">
        <v>54</v>
      </c>
      <c r="E136" s="8" t="s">
        <v>150</v>
      </c>
      <c r="F136" s="18">
        <f>_xlfn.XLOOKUP(E136, Inbound_Batch!$A$5:$A$324, Inbound_Batch!$F$5:$F$324,,0)</f>
        <v>46980</v>
      </c>
      <c r="G136" s="10">
        <v>300</v>
      </c>
      <c r="H136" s="11">
        <v>49000</v>
      </c>
      <c r="I136" s="11">
        <f t="shared" si="6"/>
        <v>14700000</v>
      </c>
      <c r="J136" t="str">
        <f t="shared" si="7"/>
        <v>Non-Compliant</v>
      </c>
    </row>
    <row r="137" spans="1:10" x14ac:dyDescent="0.25">
      <c r="A137" s="4" t="s">
        <v>366</v>
      </c>
      <c r="B137" s="18">
        <v>46048</v>
      </c>
      <c r="C137" s="4" t="s">
        <v>53</v>
      </c>
      <c r="D137" s="5" t="s">
        <v>54</v>
      </c>
      <c r="E137" s="4" t="s">
        <v>343</v>
      </c>
      <c r="F137" s="18">
        <f>_xlfn.XLOOKUP(E137, Inbound_Batch!$A$5:$A$324, Inbound_Batch!$F$5:$F$324,,0)</f>
        <v>46634</v>
      </c>
      <c r="G137" s="6">
        <v>250</v>
      </c>
      <c r="H137" s="7">
        <v>53000</v>
      </c>
      <c r="I137" s="7">
        <f t="shared" si="6"/>
        <v>13250000</v>
      </c>
      <c r="J137" t="str">
        <f t="shared" si="7"/>
        <v>Non-Compliant</v>
      </c>
    </row>
    <row r="138" spans="1:10" x14ac:dyDescent="0.25">
      <c r="A138" s="8" t="s">
        <v>365</v>
      </c>
      <c r="B138" s="19">
        <v>46078</v>
      </c>
      <c r="C138" s="8" t="s">
        <v>19</v>
      </c>
      <c r="D138" s="9" t="s">
        <v>20</v>
      </c>
      <c r="E138" s="8" t="s">
        <v>330</v>
      </c>
      <c r="F138" s="18">
        <f>_xlfn.XLOOKUP(E138, Inbound_Batch!$A$5:$A$324, Inbound_Batch!$F$5:$F$324,,0)</f>
        <v>46408</v>
      </c>
      <c r="G138" s="10">
        <v>100</v>
      </c>
      <c r="H138" s="11">
        <v>45000</v>
      </c>
      <c r="I138" s="11">
        <f t="shared" si="6"/>
        <v>4500000</v>
      </c>
      <c r="J138" t="str">
        <f t="shared" si="7"/>
        <v>Non-Compliant</v>
      </c>
    </row>
    <row r="139" spans="1:10" x14ac:dyDescent="0.25">
      <c r="A139" s="4" t="s">
        <v>365</v>
      </c>
      <c r="B139" s="18">
        <v>46078</v>
      </c>
      <c r="C139" s="4" t="s">
        <v>19</v>
      </c>
      <c r="D139" s="5" t="s">
        <v>20</v>
      </c>
      <c r="E139" s="4" t="s">
        <v>73</v>
      </c>
      <c r="F139" s="18">
        <f>_xlfn.XLOOKUP(E139, Inbound_Batch!$A$5:$A$324, Inbound_Batch!$F$5:$F$324,,0)</f>
        <v>46426</v>
      </c>
      <c r="G139" s="6">
        <v>200</v>
      </c>
      <c r="H139" s="7">
        <v>52000</v>
      </c>
      <c r="I139" s="7">
        <f t="shared" si="6"/>
        <v>10400000</v>
      </c>
      <c r="J139" t="str">
        <f t="shared" si="7"/>
        <v>Non-Compliant</v>
      </c>
    </row>
    <row r="140" spans="1:10" x14ac:dyDescent="0.25">
      <c r="A140" s="8" t="s">
        <v>365</v>
      </c>
      <c r="B140" s="19">
        <v>46078</v>
      </c>
      <c r="C140" s="8" t="s">
        <v>19</v>
      </c>
      <c r="D140" s="9" t="s">
        <v>20</v>
      </c>
      <c r="E140" s="8" t="s">
        <v>91</v>
      </c>
      <c r="F140" s="18">
        <f>_xlfn.XLOOKUP(E140, Inbound_Batch!$A$5:$A$324, Inbound_Batch!$F$5:$F$324,,0)</f>
        <v>46485</v>
      </c>
      <c r="G140" s="10">
        <v>300</v>
      </c>
      <c r="H140" s="11">
        <v>46000</v>
      </c>
      <c r="I140" s="11">
        <f t="shared" si="6"/>
        <v>13800000</v>
      </c>
      <c r="J140" t="str">
        <f t="shared" si="7"/>
        <v>Non-Compliant</v>
      </c>
    </row>
    <row r="141" spans="1:10" x14ac:dyDescent="0.25">
      <c r="A141" s="4" t="s">
        <v>364</v>
      </c>
      <c r="B141" s="18">
        <v>46081</v>
      </c>
      <c r="C141" s="4" t="s">
        <v>25</v>
      </c>
      <c r="D141" s="5" t="s">
        <v>26</v>
      </c>
      <c r="E141" s="4" t="s">
        <v>249</v>
      </c>
      <c r="F141" s="18">
        <f>_xlfn.XLOOKUP(E141, Inbound_Batch!$A$5:$A$324, Inbound_Batch!$F$5:$F$324,,0)</f>
        <v>46508</v>
      </c>
      <c r="G141" s="6">
        <v>100</v>
      </c>
      <c r="H141" s="7">
        <v>59000</v>
      </c>
      <c r="I141" s="7">
        <f t="shared" si="6"/>
        <v>5900000</v>
      </c>
      <c r="J141" t="str">
        <f t="shared" si="7"/>
        <v>Non-Compliant</v>
      </c>
    </row>
    <row r="142" spans="1:10" x14ac:dyDescent="0.25">
      <c r="A142" s="8" t="s">
        <v>364</v>
      </c>
      <c r="B142" s="19">
        <v>46081</v>
      </c>
      <c r="C142" s="8" t="s">
        <v>25</v>
      </c>
      <c r="D142" s="9" t="s">
        <v>26</v>
      </c>
      <c r="E142" s="8" t="s">
        <v>24</v>
      </c>
      <c r="F142" s="18">
        <f>_xlfn.XLOOKUP(E142, Inbound_Batch!$A$5:$A$324, Inbound_Batch!$F$5:$F$324,,0)</f>
        <v>46514</v>
      </c>
      <c r="G142" s="10">
        <v>200</v>
      </c>
      <c r="H142" s="11">
        <v>61000</v>
      </c>
      <c r="I142" s="11">
        <f t="shared" si="6"/>
        <v>12200000</v>
      </c>
      <c r="J142" t="str">
        <f t="shared" si="7"/>
        <v>Non-Compliant</v>
      </c>
    </row>
    <row r="143" spans="1:10" x14ac:dyDescent="0.25">
      <c r="A143" s="4" t="s">
        <v>363</v>
      </c>
      <c r="B143" s="18">
        <v>46066</v>
      </c>
      <c r="C143" s="4" t="s">
        <v>29</v>
      </c>
      <c r="D143" s="5" t="s">
        <v>30</v>
      </c>
      <c r="E143" s="4" t="s">
        <v>191</v>
      </c>
      <c r="F143" s="18">
        <f>_xlfn.XLOOKUP(E143, Inbound_Batch!$A$5:$A$324, Inbound_Batch!$F$5:$F$324,,0)</f>
        <v>46464</v>
      </c>
      <c r="G143" s="6">
        <v>200</v>
      </c>
      <c r="H143" s="7">
        <v>26000</v>
      </c>
      <c r="I143" s="7">
        <f t="shared" si="6"/>
        <v>5200000</v>
      </c>
      <c r="J143" t="str">
        <f t="shared" si="7"/>
        <v>Non-Compliant</v>
      </c>
    </row>
    <row r="144" spans="1:10" x14ac:dyDescent="0.25">
      <c r="A144" s="8" t="s">
        <v>363</v>
      </c>
      <c r="B144" s="19">
        <v>46066</v>
      </c>
      <c r="C144" s="8" t="s">
        <v>29</v>
      </c>
      <c r="D144" s="9" t="s">
        <v>30</v>
      </c>
      <c r="E144" s="8" t="s">
        <v>61</v>
      </c>
      <c r="F144" s="18">
        <f>_xlfn.XLOOKUP(E144, Inbound_Batch!$A$5:$A$324, Inbound_Batch!$F$5:$F$324,,0)</f>
        <v>46466</v>
      </c>
      <c r="G144" s="10">
        <v>250</v>
      </c>
      <c r="H144" s="11">
        <v>28000</v>
      </c>
      <c r="I144" s="11">
        <f t="shared" si="6"/>
        <v>7000000</v>
      </c>
      <c r="J144" t="str">
        <f t="shared" si="7"/>
        <v>Non-Compliant</v>
      </c>
    </row>
    <row r="145" spans="1:10" x14ac:dyDescent="0.25">
      <c r="A145" s="4" t="s">
        <v>363</v>
      </c>
      <c r="B145" s="18">
        <v>46066</v>
      </c>
      <c r="C145" s="4" t="s">
        <v>29</v>
      </c>
      <c r="D145" s="5" t="s">
        <v>30</v>
      </c>
      <c r="E145" s="4" t="s">
        <v>129</v>
      </c>
      <c r="F145" s="18">
        <f>_xlfn.XLOOKUP(E145, Inbound_Batch!$A$5:$A$324, Inbound_Batch!$F$5:$F$324,,0)</f>
        <v>46485</v>
      </c>
      <c r="G145" s="6">
        <v>150</v>
      </c>
      <c r="H145" s="7">
        <v>28000</v>
      </c>
      <c r="I145" s="7">
        <f t="shared" si="6"/>
        <v>4200000</v>
      </c>
      <c r="J145" t="str">
        <f t="shared" si="7"/>
        <v>Non-Compliant</v>
      </c>
    </row>
    <row r="146" spans="1:10" x14ac:dyDescent="0.25">
      <c r="A146" s="8" t="s">
        <v>362</v>
      </c>
      <c r="B146" s="19">
        <v>46103</v>
      </c>
      <c r="C146" s="8" t="s">
        <v>12</v>
      </c>
      <c r="D146" s="9" t="s">
        <v>13</v>
      </c>
      <c r="E146" s="8" t="s">
        <v>228</v>
      </c>
      <c r="F146" s="18">
        <f>_xlfn.XLOOKUP(E146, Inbound_Batch!$A$5:$A$324, Inbound_Batch!$F$5:$F$324,,0)</f>
        <v>46915</v>
      </c>
      <c r="G146" s="10">
        <v>350</v>
      </c>
      <c r="H146" s="11">
        <v>32000</v>
      </c>
      <c r="I146" s="11">
        <f t="shared" si="6"/>
        <v>11200000</v>
      </c>
      <c r="J146" t="str">
        <f t="shared" si="7"/>
        <v>Non-Compliant</v>
      </c>
    </row>
    <row r="147" spans="1:10" x14ac:dyDescent="0.25">
      <c r="A147" s="4" t="s">
        <v>362</v>
      </c>
      <c r="B147" s="18">
        <v>46103</v>
      </c>
      <c r="C147" s="4" t="s">
        <v>12</v>
      </c>
      <c r="D147" s="5" t="s">
        <v>13</v>
      </c>
      <c r="E147" s="4" t="s">
        <v>323</v>
      </c>
      <c r="F147" s="18">
        <f>_xlfn.XLOOKUP(E147, Inbound_Batch!$A$5:$A$324, Inbound_Batch!$F$5:$F$324,,0)</f>
        <v>46553</v>
      </c>
      <c r="G147" s="6">
        <v>300</v>
      </c>
      <c r="H147" s="7">
        <v>33000</v>
      </c>
      <c r="I147" s="7">
        <f t="shared" si="6"/>
        <v>9900000</v>
      </c>
      <c r="J147" t="str">
        <f t="shared" si="7"/>
        <v>Non-Compliant</v>
      </c>
    </row>
    <row r="148" spans="1:10" x14ac:dyDescent="0.25">
      <c r="A148" s="8" t="s">
        <v>362</v>
      </c>
      <c r="B148" s="19">
        <v>46103</v>
      </c>
      <c r="C148" s="8" t="s">
        <v>12</v>
      </c>
      <c r="D148" s="9" t="s">
        <v>13</v>
      </c>
      <c r="E148" s="8" t="s">
        <v>236</v>
      </c>
      <c r="F148" s="18">
        <f>_xlfn.XLOOKUP(E148, Inbound_Batch!$A$5:$A$324, Inbound_Batch!$F$5:$F$324,,0)</f>
        <v>46562</v>
      </c>
      <c r="G148" s="10">
        <v>300</v>
      </c>
      <c r="H148" s="11">
        <v>30000</v>
      </c>
      <c r="I148" s="11">
        <f t="shared" si="6"/>
        <v>9000000</v>
      </c>
      <c r="J148" t="str">
        <f t="shared" si="7"/>
        <v>Non-Compliant</v>
      </c>
    </row>
    <row r="149" spans="1:10" x14ac:dyDescent="0.25">
      <c r="A149" s="4" t="s">
        <v>362</v>
      </c>
      <c r="B149" s="18">
        <v>46103</v>
      </c>
      <c r="C149" s="4" t="s">
        <v>12</v>
      </c>
      <c r="D149" s="5" t="s">
        <v>13</v>
      </c>
      <c r="E149" s="4" t="s">
        <v>290</v>
      </c>
      <c r="F149" s="18">
        <f>_xlfn.XLOOKUP(E149, Inbound_Batch!$A$5:$A$324, Inbound_Batch!$F$5:$F$324,,0)</f>
        <v>46574</v>
      </c>
      <c r="G149" s="6">
        <v>50</v>
      </c>
      <c r="H149" s="7">
        <v>33000</v>
      </c>
      <c r="I149" s="7">
        <f t="shared" si="6"/>
        <v>1650000</v>
      </c>
      <c r="J149" t="str">
        <f t="shared" si="7"/>
        <v>Non-Compliant</v>
      </c>
    </row>
    <row r="150" spans="1:10" x14ac:dyDescent="0.25">
      <c r="A150" s="8" t="s">
        <v>361</v>
      </c>
      <c r="B150" s="19">
        <v>46088</v>
      </c>
      <c r="C150" s="8" t="s">
        <v>4</v>
      </c>
      <c r="D150" s="9" t="s">
        <v>5</v>
      </c>
      <c r="E150" s="8" t="s">
        <v>181</v>
      </c>
      <c r="F150" s="18">
        <f>_xlfn.XLOOKUP(E150, Inbound_Batch!$A$5:$A$324, Inbound_Batch!$F$5:$F$324,,0)</f>
        <v>46550</v>
      </c>
      <c r="G150" s="10">
        <v>100</v>
      </c>
      <c r="H150" s="11">
        <v>75000</v>
      </c>
      <c r="I150" s="11">
        <f t="shared" si="6"/>
        <v>7500000</v>
      </c>
      <c r="J150" t="str">
        <f t="shared" si="7"/>
        <v>Non-Compliant</v>
      </c>
    </row>
    <row r="151" spans="1:10" x14ac:dyDescent="0.25">
      <c r="A151" s="4" t="s">
        <v>361</v>
      </c>
      <c r="B151" s="18">
        <v>46088</v>
      </c>
      <c r="C151" s="4" t="s">
        <v>4</v>
      </c>
      <c r="D151" s="5" t="s">
        <v>5</v>
      </c>
      <c r="E151" s="4" t="s">
        <v>270</v>
      </c>
      <c r="F151" s="18">
        <f>_xlfn.XLOOKUP(E151, Inbound_Batch!$A$5:$A$324, Inbound_Batch!$F$5:$F$324,,0)</f>
        <v>46924</v>
      </c>
      <c r="G151" s="6">
        <v>500</v>
      </c>
      <c r="H151" s="7">
        <v>75000</v>
      </c>
      <c r="I151" s="7">
        <f t="shared" si="6"/>
        <v>37500000</v>
      </c>
      <c r="J151" t="str">
        <f t="shared" si="7"/>
        <v>Non-Compliant</v>
      </c>
    </row>
    <row r="152" spans="1:10" x14ac:dyDescent="0.25">
      <c r="A152" s="8" t="s">
        <v>360</v>
      </c>
      <c r="B152" s="19">
        <v>46051</v>
      </c>
      <c r="C152" s="8" t="s">
        <v>45</v>
      </c>
      <c r="D152" s="9" t="s">
        <v>46</v>
      </c>
      <c r="E152" s="8" t="s">
        <v>164</v>
      </c>
      <c r="F152" s="18">
        <f>_xlfn.XLOOKUP(E152, Inbound_Batch!$A$5:$A$324, Inbound_Batch!$F$5:$F$324,,0)</f>
        <v>46554</v>
      </c>
      <c r="G152" s="10">
        <v>50</v>
      </c>
      <c r="H152" s="11">
        <v>95000</v>
      </c>
      <c r="I152" s="11">
        <f t="shared" si="6"/>
        <v>4750000</v>
      </c>
      <c r="J152" t="str">
        <f t="shared" si="7"/>
        <v>Non-Compliant</v>
      </c>
    </row>
    <row r="153" spans="1:10" x14ac:dyDescent="0.25">
      <c r="A153" s="4" t="s">
        <v>360</v>
      </c>
      <c r="B153" s="18">
        <v>46051</v>
      </c>
      <c r="C153" s="4" t="s">
        <v>45</v>
      </c>
      <c r="D153" s="5" t="s">
        <v>46</v>
      </c>
      <c r="E153" s="4" t="s">
        <v>219</v>
      </c>
      <c r="F153" s="18">
        <f>_xlfn.XLOOKUP(E153, Inbound_Batch!$A$5:$A$324, Inbound_Batch!$F$5:$F$324,,0)</f>
        <v>46582</v>
      </c>
      <c r="G153" s="6">
        <v>200</v>
      </c>
      <c r="H153" s="7">
        <v>90000</v>
      </c>
      <c r="I153" s="7">
        <f t="shared" si="6"/>
        <v>18000000</v>
      </c>
      <c r="J153" t="str">
        <f t="shared" si="7"/>
        <v>Non-Compliant</v>
      </c>
    </row>
    <row r="154" spans="1:10" x14ac:dyDescent="0.25">
      <c r="A154" s="8" t="s">
        <v>360</v>
      </c>
      <c r="B154" s="19">
        <v>46051</v>
      </c>
      <c r="C154" s="8" t="s">
        <v>45</v>
      </c>
      <c r="D154" s="9" t="s">
        <v>46</v>
      </c>
      <c r="E154" s="8" t="s">
        <v>258</v>
      </c>
      <c r="F154" s="18">
        <f>_xlfn.XLOOKUP(E154, Inbound_Batch!$A$5:$A$324, Inbound_Batch!$F$5:$F$324,,0)</f>
        <v>46587</v>
      </c>
      <c r="G154" s="10">
        <v>250</v>
      </c>
      <c r="H154" s="11">
        <v>92000</v>
      </c>
      <c r="I154" s="11">
        <f t="shared" si="6"/>
        <v>23000000</v>
      </c>
      <c r="J154" t="str">
        <f t="shared" si="7"/>
        <v>Non-Compliant</v>
      </c>
    </row>
    <row r="155" spans="1:10" x14ac:dyDescent="0.25">
      <c r="A155" s="4" t="s">
        <v>359</v>
      </c>
      <c r="B155" s="18">
        <v>46102</v>
      </c>
      <c r="C155" s="4" t="s">
        <v>8</v>
      </c>
      <c r="D155" s="5" t="s">
        <v>9</v>
      </c>
      <c r="E155" s="4" t="s">
        <v>71</v>
      </c>
      <c r="F155" s="18">
        <f>_xlfn.XLOOKUP(E155, Inbound_Batch!$A$5:$A$324, Inbound_Batch!$F$5:$F$324,,0)</f>
        <v>46422</v>
      </c>
      <c r="G155" s="6">
        <v>150</v>
      </c>
      <c r="H155" s="7">
        <v>33000</v>
      </c>
      <c r="I155" s="7">
        <f t="shared" si="6"/>
        <v>4950000</v>
      </c>
      <c r="J155" t="str">
        <f t="shared" si="7"/>
        <v>Non-Compliant</v>
      </c>
    </row>
    <row r="156" spans="1:10" x14ac:dyDescent="0.25">
      <c r="A156" s="8" t="s">
        <v>359</v>
      </c>
      <c r="B156" s="19">
        <v>46102</v>
      </c>
      <c r="C156" s="8" t="s">
        <v>8</v>
      </c>
      <c r="D156" s="9" t="s">
        <v>9</v>
      </c>
      <c r="E156" s="8" t="s">
        <v>259</v>
      </c>
      <c r="F156" s="18">
        <f>_xlfn.XLOOKUP(E156, Inbound_Batch!$A$5:$A$324, Inbound_Batch!$F$5:$F$324,,0)</f>
        <v>46439</v>
      </c>
      <c r="G156" s="10">
        <v>100</v>
      </c>
      <c r="H156" s="11">
        <v>33000</v>
      </c>
      <c r="I156" s="11">
        <f t="shared" si="6"/>
        <v>3300000</v>
      </c>
      <c r="J156" t="str">
        <f t="shared" si="7"/>
        <v>Non-Compliant</v>
      </c>
    </row>
    <row r="157" spans="1:10" x14ac:dyDescent="0.25">
      <c r="A157" s="4" t="s">
        <v>359</v>
      </c>
      <c r="B157" s="18">
        <v>46102</v>
      </c>
      <c r="C157" s="4" t="s">
        <v>8</v>
      </c>
      <c r="D157" s="5" t="s">
        <v>9</v>
      </c>
      <c r="E157" s="4" t="s">
        <v>317</v>
      </c>
      <c r="F157" s="18">
        <f>_xlfn.XLOOKUP(E157, Inbound_Batch!$A$5:$A$324, Inbound_Batch!$F$5:$F$324,,0)</f>
        <v>46465</v>
      </c>
      <c r="G157" s="6">
        <v>50</v>
      </c>
      <c r="H157" s="7">
        <v>35000</v>
      </c>
      <c r="I157" s="7">
        <f t="shared" si="6"/>
        <v>1750000</v>
      </c>
      <c r="J157" t="str">
        <f t="shared" si="7"/>
        <v>Non-Compliant</v>
      </c>
    </row>
    <row r="158" spans="1:10" x14ac:dyDescent="0.25">
      <c r="A158" s="8" t="s">
        <v>358</v>
      </c>
      <c r="B158" s="19">
        <v>46071</v>
      </c>
      <c r="C158" s="8" t="s">
        <v>25</v>
      </c>
      <c r="D158" s="9" t="s">
        <v>26</v>
      </c>
      <c r="E158" s="8" t="s">
        <v>24</v>
      </c>
      <c r="F158" s="18">
        <f>_xlfn.XLOOKUP(E158, Inbound_Batch!$A$5:$A$324, Inbound_Batch!$F$5:$F$324,,0)</f>
        <v>46514</v>
      </c>
      <c r="G158" s="10">
        <v>100</v>
      </c>
      <c r="H158" s="11">
        <v>61000</v>
      </c>
      <c r="I158" s="11">
        <f t="shared" si="6"/>
        <v>6100000</v>
      </c>
      <c r="J158" t="str">
        <f t="shared" si="7"/>
        <v>Non-Compliant</v>
      </c>
    </row>
    <row r="159" spans="1:10" x14ac:dyDescent="0.25">
      <c r="A159" s="4" t="s">
        <v>358</v>
      </c>
      <c r="B159" s="18">
        <v>46071</v>
      </c>
      <c r="C159" s="4" t="s">
        <v>25</v>
      </c>
      <c r="D159" s="5" t="s">
        <v>26</v>
      </c>
      <c r="E159" s="4" t="s">
        <v>206</v>
      </c>
      <c r="F159" s="18">
        <f>_xlfn.XLOOKUP(E159, Inbound_Batch!$A$5:$A$324, Inbound_Batch!$F$5:$F$324,,0)</f>
        <v>46546</v>
      </c>
      <c r="G159" s="6">
        <v>100</v>
      </c>
      <c r="H159" s="7">
        <v>58000</v>
      </c>
      <c r="I159" s="7">
        <f t="shared" si="6"/>
        <v>5800000</v>
      </c>
      <c r="J159" t="str">
        <f t="shared" si="7"/>
        <v>Non-Compliant</v>
      </c>
    </row>
    <row r="160" spans="1:10" x14ac:dyDescent="0.25">
      <c r="A160" s="8" t="s">
        <v>357</v>
      </c>
      <c r="B160" s="19">
        <v>46118</v>
      </c>
      <c r="C160" s="8" t="s">
        <v>53</v>
      </c>
      <c r="D160" s="9" t="s">
        <v>54</v>
      </c>
      <c r="E160" s="8" t="s">
        <v>343</v>
      </c>
      <c r="F160" s="18">
        <f>_xlfn.XLOOKUP(E160, Inbound_Batch!$A$5:$A$324, Inbound_Batch!$F$5:$F$324,,0)</f>
        <v>46634</v>
      </c>
      <c r="G160" s="10">
        <v>500</v>
      </c>
      <c r="H160" s="11">
        <v>53000</v>
      </c>
      <c r="I160" s="11">
        <f t="shared" si="6"/>
        <v>26500000</v>
      </c>
      <c r="J160" t="str">
        <f t="shared" si="7"/>
        <v>Non-Compliant</v>
      </c>
    </row>
    <row r="161" spans="1:10" x14ac:dyDescent="0.25">
      <c r="A161" s="4" t="s">
        <v>357</v>
      </c>
      <c r="B161" s="18">
        <v>46118</v>
      </c>
      <c r="C161" s="4" t="s">
        <v>53</v>
      </c>
      <c r="D161" s="5" t="s">
        <v>54</v>
      </c>
      <c r="E161" s="4" t="s">
        <v>52</v>
      </c>
      <c r="F161" s="18">
        <f>_xlfn.XLOOKUP(E161, Inbound_Batch!$A$5:$A$324, Inbound_Batch!$F$5:$F$324,,0)</f>
        <v>46666</v>
      </c>
      <c r="G161" s="6">
        <v>300</v>
      </c>
      <c r="H161" s="7">
        <v>56000</v>
      </c>
      <c r="I161" s="7">
        <f t="shared" si="6"/>
        <v>16800000</v>
      </c>
      <c r="J161" t="str">
        <f t="shared" si="7"/>
        <v>Non-Compliant</v>
      </c>
    </row>
    <row r="162" spans="1:10" x14ac:dyDescent="0.25">
      <c r="A162" s="8" t="s">
        <v>357</v>
      </c>
      <c r="B162" s="19">
        <v>46118</v>
      </c>
      <c r="C162" s="8" t="s">
        <v>53</v>
      </c>
      <c r="D162" s="9" t="s">
        <v>54</v>
      </c>
      <c r="E162" s="8" t="s">
        <v>307</v>
      </c>
      <c r="F162" s="18">
        <f>_xlfn.XLOOKUP(E162, Inbound_Batch!$A$5:$A$324, Inbound_Batch!$F$5:$F$324,,0)</f>
        <v>46302</v>
      </c>
      <c r="G162" s="10">
        <v>200</v>
      </c>
      <c r="H162" s="11">
        <v>49000</v>
      </c>
      <c r="I162" s="11">
        <f t="shared" si="6"/>
        <v>9800000</v>
      </c>
      <c r="J162" t="str">
        <f t="shared" si="7"/>
        <v>Non-Compliant</v>
      </c>
    </row>
    <row r="163" spans="1:10" x14ac:dyDescent="0.25">
      <c r="A163" s="4" t="s">
        <v>356</v>
      </c>
      <c r="B163" s="18">
        <v>46061</v>
      </c>
      <c r="C163" s="4" t="s">
        <v>33</v>
      </c>
      <c r="D163" s="5" t="s">
        <v>34</v>
      </c>
      <c r="E163" s="4" t="s">
        <v>161</v>
      </c>
      <c r="F163" s="18">
        <f>_xlfn.XLOOKUP(E163, Inbound_Batch!$A$5:$A$324, Inbound_Batch!$F$5:$F$324,,0)</f>
        <v>46450</v>
      </c>
      <c r="G163" s="6">
        <v>200</v>
      </c>
      <c r="H163" s="7">
        <v>60000</v>
      </c>
      <c r="I163" s="7">
        <f t="shared" si="6"/>
        <v>12000000</v>
      </c>
      <c r="J163" t="str">
        <f t="shared" si="7"/>
        <v>Non-Compliant</v>
      </c>
    </row>
    <row r="164" spans="1:10" x14ac:dyDescent="0.25">
      <c r="A164" s="8" t="s">
        <v>355</v>
      </c>
      <c r="B164" s="19">
        <v>46090</v>
      </c>
      <c r="C164" s="8" t="s">
        <v>45</v>
      </c>
      <c r="D164" s="9" t="s">
        <v>46</v>
      </c>
      <c r="E164" s="8" t="s">
        <v>94</v>
      </c>
      <c r="F164" s="18">
        <f>_xlfn.XLOOKUP(E164, Inbound_Batch!$A$5:$A$324, Inbound_Batch!$F$5:$F$324,,0)</f>
        <v>46590</v>
      </c>
      <c r="G164" s="10">
        <v>150</v>
      </c>
      <c r="H164" s="11">
        <v>89000</v>
      </c>
      <c r="I164" s="11">
        <f t="shared" si="6"/>
        <v>13350000</v>
      </c>
      <c r="J164" t="str">
        <f t="shared" si="7"/>
        <v>Non-Compliant</v>
      </c>
    </row>
    <row r="165" spans="1:10" x14ac:dyDescent="0.25">
      <c r="A165" s="4" t="s">
        <v>354</v>
      </c>
      <c r="B165" s="18">
        <v>46050</v>
      </c>
      <c r="C165" s="4" t="s">
        <v>53</v>
      </c>
      <c r="D165" s="5" t="s">
        <v>54</v>
      </c>
      <c r="E165" s="4" t="s">
        <v>307</v>
      </c>
      <c r="F165" s="18">
        <f>_xlfn.XLOOKUP(E165, Inbound_Batch!$A$5:$A$324, Inbound_Batch!$F$5:$F$324,,0)</f>
        <v>46302</v>
      </c>
      <c r="G165" s="6">
        <v>100</v>
      </c>
      <c r="H165" s="7">
        <v>49000</v>
      </c>
      <c r="I165" s="7">
        <f t="shared" ref="I165:I174" si="8">G165*H165</f>
        <v>4900000</v>
      </c>
      <c r="J165" t="str">
        <f t="shared" si="7"/>
        <v>Non-Compliant</v>
      </c>
    </row>
    <row r="166" spans="1:10" x14ac:dyDescent="0.25">
      <c r="A166" s="8" t="s">
        <v>354</v>
      </c>
      <c r="B166" s="19">
        <v>46050</v>
      </c>
      <c r="C166" s="8" t="s">
        <v>53</v>
      </c>
      <c r="D166" s="9" t="s">
        <v>54</v>
      </c>
      <c r="E166" s="8" t="s">
        <v>101</v>
      </c>
      <c r="F166" s="18">
        <f>_xlfn.XLOOKUP(E166, Inbound_Batch!$A$5:$A$324, Inbound_Batch!$F$5:$F$324,,0)</f>
        <v>46672</v>
      </c>
      <c r="G166" s="10">
        <v>50</v>
      </c>
      <c r="H166" s="11">
        <v>48000</v>
      </c>
      <c r="I166" s="11">
        <f t="shared" si="8"/>
        <v>2400000</v>
      </c>
      <c r="J166" t="str">
        <f t="shared" si="7"/>
        <v>Non-Compliant</v>
      </c>
    </row>
    <row r="167" spans="1:10" x14ac:dyDescent="0.25">
      <c r="A167" s="4" t="s">
        <v>353</v>
      </c>
      <c r="B167" s="18">
        <v>46088</v>
      </c>
      <c r="C167" s="4" t="s">
        <v>12</v>
      </c>
      <c r="D167" s="5" t="s">
        <v>13</v>
      </c>
      <c r="E167" s="4" t="s">
        <v>290</v>
      </c>
      <c r="F167" s="18">
        <f>_xlfn.XLOOKUP(E167, Inbound_Batch!$A$5:$A$324, Inbound_Batch!$F$5:$F$324,,0)</f>
        <v>46574</v>
      </c>
      <c r="G167" s="6">
        <v>300</v>
      </c>
      <c r="H167" s="7">
        <v>33000</v>
      </c>
      <c r="I167" s="7">
        <f t="shared" si="8"/>
        <v>9900000</v>
      </c>
      <c r="J167" t="str">
        <f t="shared" si="7"/>
        <v>Non-Compliant</v>
      </c>
    </row>
    <row r="168" spans="1:10" x14ac:dyDescent="0.25">
      <c r="A168" s="8" t="s">
        <v>352</v>
      </c>
      <c r="B168" s="19">
        <v>46077</v>
      </c>
      <c r="C168" s="8" t="s">
        <v>8</v>
      </c>
      <c r="D168" s="9" t="s">
        <v>9</v>
      </c>
      <c r="E168" s="8" t="s">
        <v>317</v>
      </c>
      <c r="F168" s="18">
        <f>_xlfn.XLOOKUP(E168, Inbound_Batch!$A$5:$A$324, Inbound_Batch!$F$5:$F$324,,0)</f>
        <v>46465</v>
      </c>
      <c r="G168" s="10">
        <v>200</v>
      </c>
      <c r="H168" s="11">
        <v>35000</v>
      </c>
      <c r="I168" s="11">
        <f t="shared" si="8"/>
        <v>7000000</v>
      </c>
      <c r="J168" t="str">
        <f t="shared" si="7"/>
        <v>Non-Compliant</v>
      </c>
    </row>
    <row r="169" spans="1:10" x14ac:dyDescent="0.25">
      <c r="A169" s="4" t="s">
        <v>352</v>
      </c>
      <c r="B169" s="18">
        <v>46077</v>
      </c>
      <c r="C169" s="4" t="s">
        <v>8</v>
      </c>
      <c r="D169" s="5" t="s">
        <v>9</v>
      </c>
      <c r="E169" s="4" t="s">
        <v>272</v>
      </c>
      <c r="F169" s="18">
        <f>_xlfn.XLOOKUP(E169, Inbound_Batch!$A$5:$A$324, Inbound_Batch!$F$5:$F$324,,0)</f>
        <v>46138</v>
      </c>
      <c r="G169" s="6">
        <v>250</v>
      </c>
      <c r="H169" s="7">
        <v>35000</v>
      </c>
      <c r="I169" s="7">
        <f t="shared" si="8"/>
        <v>8750000</v>
      </c>
      <c r="J169" t="str">
        <f t="shared" si="7"/>
        <v>Non-Compliant</v>
      </c>
    </row>
    <row r="170" spans="1:10" x14ac:dyDescent="0.25">
      <c r="A170" s="8" t="s">
        <v>352</v>
      </c>
      <c r="B170" s="19">
        <v>46077</v>
      </c>
      <c r="C170" s="8" t="s">
        <v>8</v>
      </c>
      <c r="D170" s="9" t="s">
        <v>9</v>
      </c>
      <c r="E170" s="8" t="s">
        <v>286</v>
      </c>
      <c r="F170" s="18">
        <f>_xlfn.XLOOKUP(E170, Inbound_Batch!$A$5:$A$324, Inbound_Batch!$F$5:$F$324,,0)</f>
        <v>46503</v>
      </c>
      <c r="G170" s="10">
        <v>150</v>
      </c>
      <c r="H170" s="11">
        <v>32000</v>
      </c>
      <c r="I170" s="11">
        <f t="shared" si="8"/>
        <v>4800000</v>
      </c>
      <c r="J170" t="str">
        <f t="shared" si="7"/>
        <v>Non-Compliant</v>
      </c>
    </row>
    <row r="171" spans="1:10" x14ac:dyDescent="0.25">
      <c r="A171" s="4" t="s">
        <v>351</v>
      </c>
      <c r="B171" s="18">
        <v>46049</v>
      </c>
      <c r="C171" s="4" t="s">
        <v>45</v>
      </c>
      <c r="D171" s="5" t="s">
        <v>46</v>
      </c>
      <c r="E171" s="4" t="s">
        <v>94</v>
      </c>
      <c r="F171" s="18">
        <f>_xlfn.XLOOKUP(E171, Inbound_Batch!$A$5:$A$324, Inbound_Batch!$F$5:$F$324,,0)</f>
        <v>46590</v>
      </c>
      <c r="G171" s="6">
        <v>150</v>
      </c>
      <c r="H171" s="7">
        <v>89000</v>
      </c>
      <c r="I171" s="7">
        <f t="shared" si="8"/>
        <v>13350000</v>
      </c>
      <c r="J171" t="str">
        <f t="shared" si="7"/>
        <v>Non-Compliant</v>
      </c>
    </row>
    <row r="172" spans="1:10" x14ac:dyDescent="0.25">
      <c r="A172" s="8" t="s">
        <v>351</v>
      </c>
      <c r="B172" s="19">
        <v>46049</v>
      </c>
      <c r="C172" s="8" t="s">
        <v>45</v>
      </c>
      <c r="D172" s="9" t="s">
        <v>46</v>
      </c>
      <c r="E172" s="8" t="s">
        <v>333</v>
      </c>
      <c r="F172" s="18">
        <f>_xlfn.XLOOKUP(E172, Inbound_Batch!$A$5:$A$324, Inbound_Batch!$F$5:$F$324,,0)</f>
        <v>46604</v>
      </c>
      <c r="G172" s="10">
        <v>350</v>
      </c>
      <c r="H172" s="11">
        <v>89000</v>
      </c>
      <c r="I172" s="11">
        <f t="shared" si="8"/>
        <v>31150000</v>
      </c>
      <c r="J172" t="str">
        <f t="shared" si="7"/>
        <v>Non-Compliant</v>
      </c>
    </row>
    <row r="173" spans="1:10" x14ac:dyDescent="0.25">
      <c r="A173" s="4" t="s">
        <v>350</v>
      </c>
      <c r="B173" s="18">
        <v>46044</v>
      </c>
      <c r="C173" s="4" t="s">
        <v>25</v>
      </c>
      <c r="D173" s="5" t="s">
        <v>26</v>
      </c>
      <c r="E173" s="4" t="s">
        <v>206</v>
      </c>
      <c r="F173" s="18">
        <f>_xlfn.XLOOKUP(E173, Inbound_Batch!$A$5:$A$324, Inbound_Batch!$F$5:$F$324,,0)</f>
        <v>46546</v>
      </c>
      <c r="G173" s="6">
        <v>400</v>
      </c>
      <c r="H173" s="7">
        <v>58000</v>
      </c>
      <c r="I173" s="7">
        <f t="shared" si="8"/>
        <v>23200000</v>
      </c>
      <c r="J173" t="str">
        <f t="shared" si="7"/>
        <v>Non-Compliant</v>
      </c>
    </row>
    <row r="174" spans="1:10" x14ac:dyDescent="0.25">
      <c r="A174" s="8" t="s">
        <v>350</v>
      </c>
      <c r="B174" s="19">
        <v>46044</v>
      </c>
      <c r="C174" s="8" t="s">
        <v>25</v>
      </c>
      <c r="D174" s="9" t="s">
        <v>26</v>
      </c>
      <c r="E174" s="8" t="s">
        <v>116</v>
      </c>
      <c r="F174" s="18">
        <f>_xlfn.XLOOKUP(E174, Inbound_Batch!$A$5:$A$324, Inbound_Batch!$F$5:$F$324,,0)</f>
        <v>46922</v>
      </c>
      <c r="G174" s="10">
        <v>100</v>
      </c>
      <c r="H174" s="11">
        <v>55000</v>
      </c>
      <c r="I174" s="11">
        <f t="shared" si="8"/>
        <v>5500000</v>
      </c>
      <c r="J174" t="str">
        <f t="shared" si="7"/>
        <v>Non-Compliant</v>
      </c>
    </row>
    <row r="175" spans="1:10" ht="15.75" thickBot="1" x14ac:dyDescent="0.3">
      <c r="A175" s="12" t="s">
        <v>432</v>
      </c>
      <c r="B175" s="20"/>
      <c r="C175" s="13"/>
      <c r="D175" s="13"/>
      <c r="E175" s="13"/>
      <c r="F175" s="20"/>
      <c r="G175" s="14">
        <f>SUM(G5:G174)</f>
        <v>36950</v>
      </c>
      <c r="H175" s="13"/>
      <c r="I175" s="15">
        <f>SUM(I5:I174)</f>
        <v>2033050000</v>
      </c>
    </row>
    <row r="176" spans="1:10" ht="15.75" thickTop="1" x14ac:dyDescent="0.25"/>
  </sheetData>
  <conditionalFormatting sqref="J5:J174">
    <cfRule type="containsText" dxfId="16" priority="1" operator="containsText" text="Non-">
      <formula>NOT(ISERROR(SEARCH("Non-",J5)))</formula>
    </cfRule>
    <cfRule type="containsText" dxfId="15" priority="2" operator="containsText" text="Compliant">
      <formula>NOT(ISERROR(SEARCH("Compliant",J5)))</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EC4-6DC7-4F05-9D22-730ABEF5FA45}">
  <dimension ref="A1:L51"/>
  <sheetViews>
    <sheetView tabSelected="1" topLeftCell="A30" zoomScale="91" workbookViewId="0">
      <selection activeCell="A25" sqref="A25"/>
    </sheetView>
  </sheetViews>
  <sheetFormatPr defaultRowHeight="15" x14ac:dyDescent="0.25"/>
  <cols>
    <col min="1" max="1" width="11.28515625" bestFit="1" customWidth="1"/>
    <col min="2" max="2" width="18.42578125" bestFit="1" customWidth="1"/>
    <col min="3" max="3" width="16.7109375" bestFit="1" customWidth="1"/>
    <col min="4" max="4" width="18.85546875" bestFit="1" customWidth="1"/>
    <col min="5" max="5" width="21.28515625" customWidth="1"/>
    <col min="6" max="6" width="10.140625" bestFit="1" customWidth="1"/>
    <col min="7" max="7" width="6.140625" bestFit="1" customWidth="1"/>
    <col min="9" max="10" width="9.140625" customWidth="1"/>
    <col min="11" max="11" width="32.140625" bestFit="1" customWidth="1"/>
    <col min="12" max="12" width="28" bestFit="1" customWidth="1"/>
  </cols>
  <sheetData>
    <row r="1" spans="1:12" ht="33.75" x14ac:dyDescent="0.5">
      <c r="A1" s="44" t="s">
        <v>0</v>
      </c>
    </row>
    <row r="3" spans="1:12" ht="26.25" x14ac:dyDescent="0.4">
      <c r="A3" s="43" t="s">
        <v>468</v>
      </c>
    </row>
    <row r="5" spans="1:12" x14ac:dyDescent="0.25">
      <c r="A5" s="41" t="s">
        <v>435</v>
      </c>
      <c r="B5" t="s">
        <v>462</v>
      </c>
      <c r="C5" t="s">
        <v>463</v>
      </c>
      <c r="D5" t="s">
        <v>464</v>
      </c>
    </row>
    <row r="6" spans="1:12" x14ac:dyDescent="0.25">
      <c r="A6" t="s">
        <v>10</v>
      </c>
      <c r="B6" s="40">
        <v>5800</v>
      </c>
      <c r="C6" s="40">
        <v>23600</v>
      </c>
      <c r="D6" s="40">
        <v>17800</v>
      </c>
    </row>
    <row r="7" spans="1:12" x14ac:dyDescent="0.25">
      <c r="A7" t="s">
        <v>14</v>
      </c>
      <c r="B7" s="40">
        <v>11650</v>
      </c>
      <c r="C7" s="40">
        <v>22250</v>
      </c>
      <c r="D7" s="40">
        <v>10600</v>
      </c>
    </row>
    <row r="8" spans="1:12" x14ac:dyDescent="0.25">
      <c r="A8" t="s">
        <v>6</v>
      </c>
      <c r="B8" s="40">
        <v>6800</v>
      </c>
      <c r="C8" s="40">
        <v>21600</v>
      </c>
      <c r="D8" s="40">
        <v>14800</v>
      </c>
    </row>
    <row r="9" spans="1:12" x14ac:dyDescent="0.25">
      <c r="A9" t="s">
        <v>21</v>
      </c>
      <c r="B9" s="40">
        <v>2200</v>
      </c>
      <c r="C9" s="40">
        <v>13000</v>
      </c>
      <c r="D9" s="40">
        <v>10800</v>
      </c>
    </row>
    <row r="10" spans="1:12" x14ac:dyDescent="0.25">
      <c r="A10" t="s">
        <v>27</v>
      </c>
      <c r="B10" s="40">
        <v>3700</v>
      </c>
      <c r="C10" s="40">
        <v>10700</v>
      </c>
      <c r="D10" s="40">
        <v>7000</v>
      </c>
    </row>
    <row r="11" spans="1:12" x14ac:dyDescent="0.25">
      <c r="A11" t="s">
        <v>35</v>
      </c>
      <c r="B11" s="40">
        <v>6800</v>
      </c>
      <c r="C11" s="40">
        <v>23650</v>
      </c>
      <c r="D11" s="40">
        <v>16850</v>
      </c>
    </row>
    <row r="12" spans="1:12" x14ac:dyDescent="0.25">
      <c r="A12" t="s">
        <v>451</v>
      </c>
      <c r="B12" s="40">
        <v>36950</v>
      </c>
      <c r="C12" s="40">
        <v>114800</v>
      </c>
      <c r="D12" s="40">
        <v>77850</v>
      </c>
    </row>
    <row r="13" spans="1:12" x14ac:dyDescent="0.25">
      <c r="B13" s="40"/>
      <c r="C13" s="40"/>
      <c r="D13" s="40"/>
    </row>
    <row r="14" spans="1:12" ht="26.25" x14ac:dyDescent="0.4">
      <c r="A14" s="43" t="s">
        <v>470</v>
      </c>
      <c r="B14" s="43"/>
      <c r="C14" s="43"/>
      <c r="D14" s="43"/>
      <c r="K14" s="41" t="s">
        <v>473</v>
      </c>
      <c r="L14" t="s">
        <v>474</v>
      </c>
    </row>
    <row r="16" spans="1:12" x14ac:dyDescent="0.25">
      <c r="A16" s="41" t="s">
        <v>440</v>
      </c>
      <c r="B16" t="s">
        <v>464</v>
      </c>
      <c r="D16" s="41" t="s">
        <v>440</v>
      </c>
      <c r="E16" t="s">
        <v>465</v>
      </c>
      <c r="K16" s="41" t="s">
        <v>434</v>
      </c>
      <c r="L16" s="46" t="s">
        <v>475</v>
      </c>
    </row>
    <row r="17" spans="1:12" x14ac:dyDescent="0.25">
      <c r="A17" t="s">
        <v>452</v>
      </c>
      <c r="B17" s="40">
        <v>9250</v>
      </c>
      <c r="D17" t="s">
        <v>452</v>
      </c>
      <c r="E17" s="27">
        <v>539850000</v>
      </c>
      <c r="K17" t="s">
        <v>5</v>
      </c>
      <c r="L17" s="46">
        <v>29</v>
      </c>
    </row>
    <row r="18" spans="1:12" x14ac:dyDescent="0.25">
      <c r="A18" t="s">
        <v>453</v>
      </c>
      <c r="B18" s="40">
        <v>5050</v>
      </c>
      <c r="D18" t="s">
        <v>453</v>
      </c>
      <c r="E18" s="27">
        <v>236600000</v>
      </c>
      <c r="K18" t="s">
        <v>9</v>
      </c>
      <c r="L18" s="46">
        <v>29</v>
      </c>
    </row>
    <row r="19" spans="1:12" x14ac:dyDescent="0.25">
      <c r="A19" t="s">
        <v>454</v>
      </c>
      <c r="B19" s="40">
        <v>48650</v>
      </c>
      <c r="D19" t="s">
        <v>454</v>
      </c>
      <c r="E19" s="27">
        <v>2623500000</v>
      </c>
      <c r="K19" t="s">
        <v>17</v>
      </c>
      <c r="L19" s="46">
        <v>28</v>
      </c>
    </row>
    <row r="20" spans="1:12" x14ac:dyDescent="0.25">
      <c r="A20" t="s">
        <v>455</v>
      </c>
      <c r="B20" s="40">
        <v>14900</v>
      </c>
      <c r="D20" t="s">
        <v>455</v>
      </c>
      <c r="E20" s="27">
        <v>810600000</v>
      </c>
      <c r="K20" t="s">
        <v>54</v>
      </c>
      <c r="L20" s="46">
        <v>9</v>
      </c>
    </row>
    <row r="21" spans="1:12" x14ac:dyDescent="0.25">
      <c r="A21" t="s">
        <v>451</v>
      </c>
      <c r="B21" s="40">
        <v>77850</v>
      </c>
      <c r="D21" t="s">
        <v>451</v>
      </c>
      <c r="E21" s="27">
        <v>4210550000</v>
      </c>
      <c r="K21" t="s">
        <v>46</v>
      </c>
      <c r="L21" s="46">
        <v>5</v>
      </c>
    </row>
    <row r="22" spans="1:12" x14ac:dyDescent="0.25">
      <c r="K22" t="s">
        <v>34</v>
      </c>
      <c r="L22" s="46">
        <v>5</v>
      </c>
    </row>
    <row r="23" spans="1:12" ht="26.25" x14ac:dyDescent="0.4">
      <c r="A23" s="43" t="s">
        <v>469</v>
      </c>
      <c r="K23" t="s">
        <v>13</v>
      </c>
      <c r="L23" s="46">
        <v>1</v>
      </c>
    </row>
    <row r="24" spans="1:12" x14ac:dyDescent="0.25">
      <c r="A24" s="42"/>
    </row>
    <row r="25" spans="1:12" x14ac:dyDescent="0.25">
      <c r="A25" s="41" t="s">
        <v>466</v>
      </c>
      <c r="B25" s="41" t="s">
        <v>435</v>
      </c>
    </row>
    <row r="26" spans="1:12" x14ac:dyDescent="0.25">
      <c r="A26" s="41" t="s">
        <v>447</v>
      </c>
      <c r="B26" t="s">
        <v>10</v>
      </c>
      <c r="C26" t="s">
        <v>14</v>
      </c>
      <c r="D26" t="s">
        <v>6</v>
      </c>
      <c r="E26" t="s">
        <v>21</v>
      </c>
      <c r="F26" t="s">
        <v>27</v>
      </c>
      <c r="G26" t="s">
        <v>35</v>
      </c>
    </row>
    <row r="27" spans="1:12" x14ac:dyDescent="0.25">
      <c r="A27" t="s">
        <v>456</v>
      </c>
      <c r="B27" s="40">
        <v>1300</v>
      </c>
      <c r="C27" s="40">
        <v>1800</v>
      </c>
      <c r="D27" s="40">
        <v>1100</v>
      </c>
      <c r="E27" s="40">
        <v>700</v>
      </c>
      <c r="F27" s="40">
        <v>1850</v>
      </c>
      <c r="G27" s="40">
        <v>2500</v>
      </c>
    </row>
    <row r="28" spans="1:12" x14ac:dyDescent="0.25">
      <c r="A28" t="s">
        <v>457</v>
      </c>
      <c r="B28" s="40">
        <v>2400</v>
      </c>
      <c r="C28" s="40">
        <v>1800</v>
      </c>
      <c r="D28" s="40">
        <v>3500</v>
      </c>
      <c r="E28" s="40">
        <v>1000</v>
      </c>
      <c r="F28" s="40">
        <v>1600</v>
      </c>
      <c r="G28" s="40">
        <v>4600</v>
      </c>
    </row>
    <row r="29" spans="1:12" x14ac:dyDescent="0.25">
      <c r="A29" t="s">
        <v>458</v>
      </c>
      <c r="B29" s="40">
        <v>12100</v>
      </c>
      <c r="C29" s="40">
        <v>6550</v>
      </c>
      <c r="D29" s="40">
        <v>9900</v>
      </c>
      <c r="E29" s="40">
        <v>8300</v>
      </c>
      <c r="F29" s="40">
        <v>3350</v>
      </c>
      <c r="G29" s="40">
        <v>8450</v>
      </c>
    </row>
    <row r="30" spans="1:12" x14ac:dyDescent="0.25">
      <c r="A30" t="s">
        <v>459</v>
      </c>
      <c r="B30" s="40">
        <v>2000</v>
      </c>
      <c r="C30" s="40">
        <v>450</v>
      </c>
      <c r="D30" s="40">
        <v>300</v>
      </c>
      <c r="E30" s="40">
        <v>800</v>
      </c>
      <c r="F30" s="40">
        <v>200</v>
      </c>
      <c r="G30" s="40">
        <v>1300</v>
      </c>
    </row>
    <row r="33" spans="1:2" ht="26.25" x14ac:dyDescent="0.4">
      <c r="A33" s="43" t="s">
        <v>472</v>
      </c>
    </row>
    <row r="35" spans="1:2" x14ac:dyDescent="0.25">
      <c r="A35" s="41" t="s">
        <v>440</v>
      </c>
      <c r="B35" t="s">
        <v>460</v>
      </c>
    </row>
    <row r="37" spans="1:2" x14ac:dyDescent="0.25">
      <c r="A37" s="41" t="s">
        <v>434</v>
      </c>
      <c r="B37" t="s">
        <v>467</v>
      </c>
    </row>
    <row r="38" spans="1:2" x14ac:dyDescent="0.25">
      <c r="A38" t="s">
        <v>46</v>
      </c>
      <c r="B38" s="36">
        <v>138750000</v>
      </c>
    </row>
    <row r="39" spans="1:2" x14ac:dyDescent="0.25">
      <c r="A39" t="s">
        <v>34</v>
      </c>
      <c r="B39" s="36">
        <v>133750000</v>
      </c>
    </row>
    <row r="40" spans="1:2" x14ac:dyDescent="0.25">
      <c r="A40" t="s">
        <v>26</v>
      </c>
      <c r="B40" s="36">
        <v>120250000</v>
      </c>
    </row>
    <row r="41" spans="1:2" x14ac:dyDescent="0.25">
      <c r="A41" t="s">
        <v>54</v>
      </c>
      <c r="B41" s="36">
        <v>74200000</v>
      </c>
    </row>
    <row r="42" spans="1:2" x14ac:dyDescent="0.25">
      <c r="A42" t="s">
        <v>20</v>
      </c>
      <c r="B42" s="36">
        <v>73400000</v>
      </c>
    </row>
    <row r="44" spans="1:2" ht="26.25" x14ac:dyDescent="0.4">
      <c r="A44" s="43" t="s">
        <v>471</v>
      </c>
    </row>
    <row r="46" spans="1:2" x14ac:dyDescent="0.25">
      <c r="A46" s="41" t="s">
        <v>434</v>
      </c>
      <c r="B46" t="s">
        <v>465</v>
      </c>
    </row>
    <row r="47" spans="1:2" x14ac:dyDescent="0.25">
      <c r="A47" t="s">
        <v>34</v>
      </c>
      <c r="B47" s="27">
        <v>680600000</v>
      </c>
    </row>
    <row r="48" spans="1:2" x14ac:dyDescent="0.25">
      <c r="A48" t="s">
        <v>5</v>
      </c>
      <c r="B48" s="27">
        <v>680300000</v>
      </c>
    </row>
    <row r="49" spans="1:2" x14ac:dyDescent="0.25">
      <c r="A49" t="s">
        <v>20</v>
      </c>
      <c r="B49" s="27">
        <v>527050000</v>
      </c>
    </row>
    <row r="50" spans="1:2" x14ac:dyDescent="0.25">
      <c r="A50" t="s">
        <v>46</v>
      </c>
      <c r="B50" s="27">
        <v>478950000</v>
      </c>
    </row>
    <row r="51" spans="1:2" x14ac:dyDescent="0.25">
      <c r="A51" t="s">
        <v>9</v>
      </c>
      <c r="B51" s="27">
        <v>438900000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MASTER_DATA</vt:lpstr>
      <vt:lpstr>Inbound_Batch</vt:lpstr>
      <vt:lpstr>Outbound_Orders</vt:lpstr>
      <vt:lpstr>Analysis_FEFO</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cp:lastPrinted>2026-10-27T11:14:42Z</cp:lastPrinted>
  <dcterms:created xsi:type="dcterms:W3CDTF">2026-10-24T13:15:07Z</dcterms:created>
  <dcterms:modified xsi:type="dcterms:W3CDTF">2026-10-27T11:56:44Z</dcterms:modified>
</cp:coreProperties>
</file>